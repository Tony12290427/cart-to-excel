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工作表1" sheetId="2" r:id="rId6"/>
  </sheets>
  <definedNames/>
  <calcPr/>
</workbook>
</file>

<file path=xl/sharedStrings.xml><?xml version="1.0" encoding="utf-8"?>
<sst xmlns="http://schemas.openxmlformats.org/spreadsheetml/2006/main" count="88" uniqueCount="58">
  <si>
    <t>HKUST Robotics Team</t>
  </si>
  <si>
    <t>Order Form</t>
  </si>
  <si>
    <t>FOR OFFICIAL USE ONLY</t>
  </si>
  <si>
    <t>Competition:</t>
  </si>
  <si>
    <t>Attachment No.</t>
  </si>
  <si>
    <t>Sub-team:</t>
  </si>
  <si>
    <t>Intelligent Racing</t>
  </si>
  <si>
    <t xml:space="preserve">This form has a total of </t>
  </si>
  <si>
    <r>
      <rPr>
        <rFont val="Arial"/>
        <color rgb="FF000000"/>
        <sz val="12.0"/>
      </rPr>
      <t>___</t>
    </r>
    <r>
      <rPr>
        <rFont val="Arial"/>
        <color rgb="FF000000"/>
        <sz val="12.0"/>
        <u/>
      </rPr>
      <t>1</t>
    </r>
    <r>
      <rPr>
        <rFont val="Arial"/>
        <color rgb="FF000000"/>
        <sz val="12.0"/>
      </rPr>
      <t>___page (s) (Excluding this page)</t>
    </r>
  </si>
  <si>
    <t>* Please submit your order form to IA/TA</t>
  </si>
  <si>
    <t>REF No.</t>
  </si>
  <si>
    <t>To be filled in by DATE</t>
  </si>
  <si>
    <t>Item 
no.</t>
  </si>
  <si>
    <t>Date 
(mm/dd/yyyy)</t>
  </si>
  <si>
    <t>Item Name</t>
  </si>
  <si>
    <t>Location</t>
  </si>
  <si>
    <t>Link</t>
  </si>
  <si>
    <t>QTY</t>
  </si>
  <si>
    <t>Type</t>
  </si>
  <si>
    <t>Amount
(Currency)</t>
  </si>
  <si>
    <t>CNY</t>
  </si>
  <si>
    <t>HKD</t>
  </si>
  <si>
    <t>USD</t>
  </si>
  <si>
    <t>Status</t>
  </si>
  <si>
    <t>Pending Approval</t>
  </si>
  <si>
    <t>EE Parts Subtotal</t>
  </si>
  <si>
    <t>EE_Motor/ESC related</t>
  </si>
  <si>
    <t>EE_Electronic Sensor</t>
  </si>
  <si>
    <t>EE_Battery</t>
  </si>
  <si>
    <t>EE_PCB</t>
  </si>
  <si>
    <t>EE_Components</t>
  </si>
  <si>
    <t>EE_Miscellaneous</t>
  </si>
  <si>
    <t>MECH Parts Subtotal</t>
  </si>
  <si>
    <t>MECH_Metal parts/manufacture</t>
  </si>
  <si>
    <t>MECH_Fibre parts/manufacture</t>
  </si>
  <si>
    <t>MECH_Pneumatic related</t>
  </si>
  <si>
    <t>MECH_3D printing related</t>
  </si>
  <si>
    <t>MECH_Components</t>
  </si>
  <si>
    <t>MECH_Miscellaneous</t>
  </si>
  <si>
    <t>SW Parts Subtotal</t>
  </si>
  <si>
    <t>SW_MCU related</t>
  </si>
  <si>
    <t>SW_Sensors</t>
  </si>
  <si>
    <t>SW_Miscellaneous</t>
  </si>
  <si>
    <t>Props</t>
  </si>
  <si>
    <t>Others</t>
  </si>
  <si>
    <t>Grand Total</t>
  </si>
  <si>
    <t>Collected by the team PIC</t>
  </si>
  <si>
    <t>Name of student</t>
  </si>
  <si>
    <t>Sign of student</t>
  </si>
  <si>
    <t xml:space="preserve">Date </t>
  </si>
  <si>
    <t xml:space="preserve"> Remarks:</t>
  </si>
  <si>
    <r>
      <rPr>
        <rFont val="Times New Roman"/>
        <b/>
        <color rgb="FF000000"/>
        <sz val="12.0"/>
      </rPr>
      <t xml:space="preserve">1. </t>
    </r>
    <r>
      <rPr>
        <rFont val="Times New Roman"/>
        <b/>
        <color rgb="FF000000"/>
        <sz val="12.0"/>
      </rPr>
      <t>Claimant}</t>
    </r>
    <r>
      <rPr>
        <rFont val="Times New Roman"/>
        <b val="0"/>
        <color rgb="FF000000"/>
        <sz val="12.0"/>
      </rPr>
      <t xml:space="preserve"> Please submit the order form to IA/TA after completion</t>
    </r>
  </si>
  <si>
    <t>2. IAs/TAs} Please collect forms from students. If approved, please pass it to Mr Eric Leung for ordering.</t>
  </si>
  <si>
    <t>Approved by Tim WOO</t>
  </si>
  <si>
    <t>Rejected item by Tim WOO</t>
  </si>
  <si>
    <t>Purchased</t>
  </si>
  <si>
    <t>Cancel the request by the team leaders/PIC</t>
  </si>
  <si>
    <t>Delivered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</si>
</sst>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_ "/>
    <numFmt numFmtId="165" formatCode="_-[$CNY]\ * #,##0.00_-;\-[$CNY]\ * #,##0.00_-;_-[$CNY]\ * &quot;-&quot;??_-;_-@"/>
    <numFmt numFmtId="166" formatCode="_-[$HKD]\ * #,##0.00_-;\-[$HKD]\ * #,##0.00_-;_-[$HKD]\ * &quot;-&quot;??_-;_-@"/>
    <numFmt numFmtId="167" formatCode="_-[$USD]\ * #,##0.00_-;\-[$USD]\ * #,##0.00_-;_-[$USD]\ * &quot;-&quot;??_-;_-@"/>
    <numFmt numFmtId="168" formatCode="&quot;HK$&quot;#,##0.00_);[Red]\(&quot;HK$&quot;#,##0.00\)"/>
    <numFmt numFmtId="169" formatCode="_(* #,##0.00_);_(* \(#,##0.00\);_(* &quot;-&quot;??_);_(@_)"/>
    <numFmt numFmtId="170" formatCode="yyyy-mm-dd"/>
  </numFmts>
  <fonts count="20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FF0000"/>
      <name val="Arial"/>
    </font>
    <font>
      <sz val="12.0"/>
      <color rgb="FF0000FF"/>
      <name val="Arial"/>
    </font>
    <font>
      <b/>
      <i/>
      <sz val="12.0"/>
      <color rgb="FF0070C0"/>
      <name val="Arial"/>
    </font>
    <font>
      <u/>
      <sz val="12.0"/>
      <color rgb="FF0000FF"/>
      <name val="Arial"/>
    </font>
    <font/>
    <font>
      <sz val="12.0"/>
      <color theme="1"/>
      <name val="Arial"/>
    </font>
    <font>
      <sz val="12.0"/>
      <color rgb="FF09090A"/>
      <name val="Arial"/>
    </font>
    <font>
      <sz val="12.0"/>
      <color rgb="FF7A7A7A"/>
      <name val="Arial"/>
    </font>
    <font>
      <sz val="12.0"/>
      <color rgb="FF333333"/>
      <name val="Arial"/>
    </font>
    <font>
      <sz val="12.0"/>
      <color rgb="FF11192D"/>
      <name val="Arial"/>
    </font>
    <font>
      <u/>
      <sz val="12.0"/>
      <color rgb="FF0000FF"/>
      <name val="Arial"/>
    </font>
    <font>
      <sz val="12.0"/>
      <color rgb="FF00B050"/>
      <name val="Arial"/>
    </font>
    <font>
      <sz val="12.0"/>
      <color rgb="FFF79646"/>
      <name val="Arial"/>
    </font>
    <font>
      <sz val="12.0"/>
      <color rgb="FF3D85C6"/>
      <name val="Arial"/>
    </font>
    <font>
      <b/>
      <sz val="12.0"/>
      <color rgb="FF000000"/>
      <name val="Times New Roman"/>
    </font>
    <font>
      <sz val="12.0"/>
      <color rgb="FF000000"/>
      <name val="Times New Roman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  <fill>
      <patternFill patternType="solid">
        <fgColor rgb="FFCCFFFF"/>
        <bgColor rgb="FFCCFFFF"/>
      </patternFill>
    </fill>
  </fills>
  <borders count="17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0" fillId="0" fontId="2" numFmtId="164" xfId="0" applyAlignment="1" applyFont="1" applyNumberFormat="1">
      <alignment vertical="center"/>
    </xf>
    <xf borderId="1" fillId="3" fontId="1" numFmtId="0" xfId="0" applyAlignment="1" applyBorder="1" applyFill="1" applyFont="1">
      <alignment vertical="center"/>
    </xf>
    <xf borderId="0" fillId="0" fontId="2" numFmtId="0" xfId="0" applyAlignment="1" applyFont="1">
      <alignment horizontal="center" vertical="center"/>
    </xf>
    <xf borderId="2" fillId="0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3" fillId="0" fontId="2" numFmtId="0" xfId="0" applyAlignment="1" applyBorder="1" applyFont="1">
      <alignment horizontal="left" vertical="center"/>
    </xf>
    <xf borderId="0" fillId="0" fontId="4" numFmtId="164" xfId="0" applyAlignment="1" applyFont="1" applyNumberFormat="1">
      <alignment vertical="center"/>
    </xf>
    <xf borderId="0" fillId="0" fontId="5" numFmtId="0" xfId="0" applyAlignment="1" applyFont="1">
      <alignment vertical="center"/>
    </xf>
    <xf borderId="2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4" fillId="4" fontId="1" numFmtId="0" xfId="0" applyAlignment="1" applyBorder="1" applyFill="1" applyFont="1">
      <alignment vertical="center"/>
    </xf>
    <xf borderId="5" fillId="4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vertical="center"/>
    </xf>
    <xf borderId="9" fillId="0" fontId="7" numFmtId="0" xfId="0" applyAlignment="1" applyBorder="1" applyFont="1">
      <alignment vertical="center"/>
    </xf>
    <xf borderId="10" fillId="0" fontId="7" numFmtId="0" xfId="0" applyAlignment="1" applyBorder="1" applyFont="1">
      <alignment vertical="center"/>
    </xf>
    <xf borderId="11" fillId="2" fontId="1" numFmtId="14" xfId="0" applyAlignment="1" applyBorder="1" applyFont="1" applyNumberFormat="1">
      <alignment horizontal="center" vertical="center"/>
    </xf>
    <xf borderId="11" fillId="2" fontId="1" numFmtId="0" xfId="0" applyAlignment="1" applyBorder="1" applyFont="1">
      <alignment horizontal="center" readingOrder="0" shrinkToFit="0" vertical="center" wrapText="0"/>
    </xf>
    <xf borderId="0" fillId="5" fontId="2" numFmtId="0" xfId="0" applyAlignment="1" applyFill="1" applyFont="1">
      <alignment vertical="center"/>
    </xf>
    <xf borderId="11" fillId="0" fontId="8" numFmtId="0" xfId="0" applyAlignment="1" applyBorder="1" applyFont="1">
      <alignment horizontal="center" readingOrder="0" vertical="center"/>
    </xf>
    <xf borderId="11" fillId="5" fontId="2" numFmtId="0" xfId="0" applyAlignment="1" applyBorder="1" applyFont="1">
      <alignment horizontal="center" readingOrder="0" vertical="center"/>
    </xf>
    <xf borderId="11" fillId="5" fontId="9" numFmtId="0" xfId="0" applyAlignment="1" applyBorder="1" applyFont="1">
      <alignment readingOrder="0" vertical="center"/>
    </xf>
    <xf borderId="11" fillId="0" fontId="8" numFmtId="0" xfId="0" applyAlignment="1" applyBorder="1" applyFont="1">
      <alignment vertical="center"/>
    </xf>
    <xf borderId="11" fillId="5" fontId="2" numFmtId="1" xfId="0" applyAlignment="1" applyBorder="1" applyFont="1" applyNumberFormat="1">
      <alignment horizontal="center" readingOrder="0" vertical="center"/>
    </xf>
    <xf borderId="11" fillId="0" fontId="8" numFmtId="165" xfId="0" applyAlignment="1" applyBorder="1" applyFont="1" applyNumberFormat="1">
      <alignment readingOrder="0" vertical="center"/>
    </xf>
    <xf borderId="11" fillId="0" fontId="8" numFmtId="166" xfId="0" applyAlignment="1" applyBorder="1" applyFont="1" applyNumberFormat="1">
      <alignment vertical="center"/>
    </xf>
    <xf borderId="11" fillId="0" fontId="8" numFmtId="167" xfId="0" applyAlignment="1" applyBorder="1" applyFont="1" applyNumberFormat="1">
      <alignment vertical="center"/>
    </xf>
    <xf borderId="0" fillId="0" fontId="2" numFmtId="0" xfId="0" applyAlignment="1" applyFont="1">
      <alignment readingOrder="0" shrinkToFit="0" vertical="center" wrapText="0"/>
    </xf>
    <xf borderId="0" fillId="0" fontId="8" numFmtId="0" xfId="0" applyAlignment="1" applyFont="1">
      <alignment vertical="center"/>
    </xf>
    <xf borderId="0" fillId="0" fontId="8" numFmtId="164" xfId="0" applyAlignment="1" applyFont="1" applyNumberFormat="1">
      <alignment vertical="center"/>
    </xf>
    <xf borderId="11" fillId="5" fontId="9" numFmtId="0" xfId="0" applyAlignment="1" applyBorder="1" applyFont="1">
      <alignment shrinkToFit="0" vertical="bottom" wrapText="0"/>
    </xf>
    <xf borderId="11" fillId="0" fontId="8" numFmtId="0" xfId="0" applyAlignment="1" applyBorder="1" applyFont="1">
      <alignment readingOrder="0" vertical="center"/>
    </xf>
    <xf borderId="11" fillId="0" fontId="8" numFmtId="1" xfId="0" applyAlignment="1" applyBorder="1" applyFont="1" applyNumberFormat="1">
      <alignment horizontal="center" readingOrder="0" vertical="center"/>
    </xf>
    <xf borderId="11" fillId="0" fontId="8" numFmtId="0" xfId="0" applyAlignment="1" applyBorder="1" applyFont="1">
      <alignment horizontal="center" vertical="center"/>
    </xf>
    <xf borderId="11" fillId="5" fontId="10" numFmtId="165" xfId="0" applyAlignment="1" applyBorder="1" applyFont="1" applyNumberFormat="1">
      <alignment readingOrder="0" vertical="center"/>
    </xf>
    <xf borderId="11" fillId="5" fontId="11" numFmtId="168" xfId="0" applyAlignment="1" applyBorder="1" applyFont="1" applyNumberFormat="1">
      <alignment vertical="center"/>
    </xf>
    <xf borderId="11" fillId="5" fontId="2" numFmtId="167" xfId="0" applyAlignment="1" applyBorder="1" applyFont="1" applyNumberFormat="1">
      <alignment vertical="center"/>
    </xf>
    <xf borderId="0" fillId="5" fontId="4" numFmtId="164" xfId="0" applyAlignment="1" applyFont="1" applyNumberFormat="1">
      <alignment vertical="center"/>
    </xf>
    <xf borderId="11" fillId="5" fontId="2" numFmtId="0" xfId="0" applyAlignment="1" applyBorder="1" applyFont="1">
      <alignment horizontal="center" vertical="center"/>
    </xf>
    <xf borderId="11" fillId="5" fontId="2" numFmtId="165" xfId="0" applyAlignment="1" applyBorder="1" applyFont="1" applyNumberFormat="1">
      <alignment readingOrder="0" vertical="center"/>
    </xf>
    <xf borderId="11" fillId="5" fontId="2" numFmtId="166" xfId="0" applyAlignment="1" applyBorder="1" applyFont="1" applyNumberFormat="1">
      <alignment vertical="center"/>
    </xf>
    <xf borderId="11" fillId="5" fontId="8" numFmtId="0" xfId="0" applyAlignment="1" applyBorder="1" applyFont="1">
      <alignment readingOrder="0" shrinkToFit="0" vertical="center" wrapText="0"/>
    </xf>
    <xf borderId="11" fillId="5" fontId="8" numFmtId="0" xfId="0" applyAlignment="1" applyBorder="1" applyFont="1">
      <alignment readingOrder="0" shrinkToFit="0" vertical="center" wrapText="1"/>
    </xf>
    <xf borderId="11" fillId="5" fontId="8" numFmtId="0" xfId="0" applyAlignment="1" applyBorder="1" applyFont="1">
      <alignment readingOrder="0" shrinkToFit="0" vertical="center" wrapText="0"/>
    </xf>
    <xf borderId="11" fillId="5" fontId="12" numFmtId="0" xfId="0" applyAlignment="1" applyBorder="1" applyFont="1">
      <alignment readingOrder="0" shrinkToFit="0" vertical="center" wrapText="0"/>
    </xf>
    <xf borderId="0" fillId="5" fontId="2" numFmtId="164" xfId="0" applyAlignment="1" applyFont="1" applyNumberFormat="1">
      <alignment vertical="center"/>
    </xf>
    <xf borderId="11" fillId="0" fontId="8" numFmtId="0" xfId="0" applyAlignment="1" applyBorder="1" applyFont="1">
      <alignment readingOrder="0" shrinkToFit="0" vertical="center" wrapText="0"/>
    </xf>
    <xf borderId="11" fillId="5" fontId="8" numFmtId="0" xfId="0" applyAlignment="1" applyBorder="1" applyFont="1">
      <alignment readingOrder="0" vertical="center"/>
    </xf>
    <xf borderId="11" fillId="5" fontId="12" numFmtId="0" xfId="0" applyAlignment="1" applyBorder="1" applyFont="1">
      <alignment readingOrder="0" shrinkToFit="0" vertical="center" wrapText="0"/>
    </xf>
    <xf borderId="11" fillId="5" fontId="2" numFmtId="165" xfId="0" applyAlignment="1" applyBorder="1" applyFont="1" applyNumberFormat="1">
      <alignment vertical="center"/>
    </xf>
    <xf borderId="11" fillId="5" fontId="2" numFmtId="166" xfId="0" applyAlignment="1" applyBorder="1" applyFont="1" applyNumberFormat="1">
      <alignment readingOrder="0" vertical="center"/>
    </xf>
    <xf borderId="11" fillId="5" fontId="2" numFmtId="14" xfId="0" applyAlignment="1" applyBorder="1" applyFont="1" applyNumberFormat="1">
      <alignment horizontal="center" readingOrder="0" vertical="center"/>
    </xf>
    <xf borderId="11" fillId="5" fontId="8" numFmtId="0" xfId="0" applyAlignment="1" applyBorder="1" applyFont="1">
      <alignment readingOrder="0" shrinkToFit="0" vertical="center" wrapText="1"/>
    </xf>
    <xf borderId="11" fillId="5" fontId="13" numFmtId="0" xfId="0" applyAlignment="1" applyBorder="1" applyFont="1">
      <alignment readingOrder="0" vertical="center"/>
    </xf>
    <xf borderId="11" fillId="0" fontId="2" numFmtId="0" xfId="0" applyAlignment="1" applyBorder="1" applyFont="1">
      <alignment readingOrder="0" vertical="center"/>
    </xf>
    <xf borderId="11" fillId="5" fontId="8" numFmtId="0" xfId="0" applyAlignment="1" applyBorder="1" applyFont="1">
      <alignment readingOrder="0" vertical="center"/>
    </xf>
    <xf borderId="11" fillId="5" fontId="2" numFmtId="0" xfId="0" applyAlignment="1" applyBorder="1" applyFont="1">
      <alignment readingOrder="0" vertical="center"/>
    </xf>
    <xf borderId="11" fillId="5" fontId="12" numFmtId="0" xfId="0" applyAlignment="1" applyBorder="1" applyFont="1">
      <alignment readingOrder="0" vertical="center"/>
    </xf>
    <xf borderId="11" fillId="0" fontId="2" numFmtId="1" xfId="0" applyAlignment="1" applyBorder="1" applyFont="1" applyNumberForma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11" fillId="0" fontId="2" numFmtId="165" xfId="0" applyAlignment="1" applyBorder="1" applyFont="1" applyNumberFormat="1">
      <alignment readingOrder="0" vertical="center"/>
    </xf>
    <xf borderId="11" fillId="0" fontId="2" numFmtId="166" xfId="0" applyAlignment="1" applyBorder="1" applyFont="1" applyNumberFormat="1">
      <alignment vertical="center"/>
    </xf>
    <xf borderId="11" fillId="0" fontId="2" numFmtId="167" xfId="0" applyAlignment="1" applyBorder="1" applyFont="1" applyNumberFormat="1">
      <alignment vertical="center"/>
    </xf>
    <xf borderId="0" fillId="5" fontId="2" numFmtId="0" xfId="0" applyAlignment="1" applyFont="1">
      <alignment horizontal="center" vertical="center"/>
    </xf>
    <xf borderId="0" fillId="5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11" fillId="6" fontId="2" numFmtId="0" xfId="0" applyAlignment="1" applyBorder="1" applyFill="1" applyFont="1">
      <alignment horizontal="left" vertical="center"/>
    </xf>
    <xf borderId="11" fillId="6" fontId="2" numFmtId="169" xfId="0" applyAlignment="1" applyBorder="1" applyFont="1" applyNumberFormat="1">
      <alignment horizontal="center" vertical="center"/>
    </xf>
    <xf borderId="11" fillId="6" fontId="14" numFmtId="0" xfId="0" applyAlignment="1" applyBorder="1" applyFont="1">
      <alignment horizontal="left" vertical="center"/>
    </xf>
    <xf borderId="11" fillId="6" fontId="14" numFmtId="169" xfId="0" applyAlignment="1" applyBorder="1" applyFont="1" applyNumberFormat="1">
      <alignment horizontal="center" vertical="center"/>
    </xf>
    <xf borderId="11" fillId="6" fontId="15" numFmtId="0" xfId="0" applyAlignment="1" applyBorder="1" applyFont="1">
      <alignment horizontal="left" vertical="center"/>
    </xf>
    <xf borderId="11" fillId="6" fontId="2" numFmtId="0" xfId="0" applyAlignment="1" applyBorder="1" applyFont="1">
      <alignment horizontal="left" readingOrder="0" vertical="center"/>
    </xf>
    <xf borderId="11" fillId="6" fontId="16" numFmtId="0" xfId="0" applyAlignment="1" applyBorder="1" applyFont="1">
      <alignment horizontal="left" readingOrder="0" vertical="center"/>
    </xf>
    <xf borderId="11" fillId="5" fontId="1" numFmtId="0" xfId="0" applyAlignment="1" applyBorder="1" applyFont="1">
      <alignment vertical="center"/>
    </xf>
    <xf borderId="11" fillId="5" fontId="1" numFmtId="2" xfId="0" applyAlignment="1" applyBorder="1" applyFont="1" applyNumberFormat="1">
      <alignment vertical="center"/>
    </xf>
    <xf borderId="0" fillId="0" fontId="1" numFmtId="0" xfId="0" applyAlignment="1" applyFont="1">
      <alignment readingOrder="0" vertical="center"/>
    </xf>
    <xf borderId="12" fillId="0" fontId="2" numFmtId="0" xfId="0" applyAlignment="1" applyBorder="1" applyFont="1">
      <alignment readingOrder="0" vertical="center"/>
    </xf>
    <xf borderId="12" fillId="0" fontId="2" numFmtId="0" xfId="0" applyAlignment="1" applyBorder="1" applyFont="1">
      <alignment vertical="center"/>
    </xf>
    <xf borderId="12" fillId="0" fontId="2" numFmtId="170" xfId="0" applyAlignment="1" applyBorder="1" applyFont="1" applyNumberFormat="1">
      <alignment readingOrder="0" vertical="center"/>
    </xf>
    <xf borderId="12" fillId="5" fontId="1" numFmtId="0" xfId="0" applyAlignment="1" applyBorder="1" applyFont="1">
      <alignment horizontal="left" shrinkToFit="0" vertical="center" wrapText="1"/>
    </xf>
    <xf borderId="0" fillId="0" fontId="1" numFmtId="14" xfId="0" applyAlignment="1" applyFont="1" applyNumberFormat="1">
      <alignment vertical="center"/>
    </xf>
    <xf borderId="13" fillId="7" fontId="17" numFmtId="0" xfId="0" applyAlignment="1" applyBorder="1" applyFill="1" applyFont="1">
      <alignment vertical="center"/>
    </xf>
    <xf borderId="13" fillId="7" fontId="17" numFmtId="0" xfId="0" applyAlignment="1" applyBorder="1" applyFont="1">
      <alignment horizontal="center" vertical="center"/>
    </xf>
    <xf borderId="14" fillId="7" fontId="17" numFmtId="0" xfId="0" applyAlignment="1" applyBorder="1" applyFont="1">
      <alignment vertical="center"/>
    </xf>
    <xf borderId="14" fillId="7" fontId="17" numFmtId="0" xfId="0" applyAlignment="1" applyBorder="1" applyFont="1">
      <alignment horizontal="center" vertical="center"/>
    </xf>
    <xf borderId="0" fillId="0" fontId="18" numFmtId="0" xfId="0" applyAlignment="1" applyFont="1">
      <alignment vertical="center"/>
    </xf>
    <xf borderId="15" fillId="0" fontId="17" numFmtId="0" xfId="0" applyAlignment="1" applyBorder="1" applyFont="1">
      <alignment horizontal="left" vertical="center"/>
    </xf>
    <xf borderId="16" fillId="0" fontId="7" numFmtId="0" xfId="0" applyAlignment="1" applyBorder="1" applyFont="1">
      <alignment vertical="center"/>
    </xf>
    <xf borderId="15" fillId="0" fontId="17" numFmtId="0" xfId="0" applyAlignment="1" applyBorder="1" applyFont="1">
      <alignment horizontal="left" shrinkToFit="0" vertical="center" wrapText="1"/>
    </xf>
    <xf borderId="0" fillId="0" fontId="1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0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3629025</xdr:colOff>
      <xdr:row>14</xdr:row>
      <xdr:rowOff>152400</xdr:rowOff>
    </xdr:from>
    <xdr:ext cx="0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1276350</xdr:colOff>
      <xdr:row>16</xdr:row>
      <xdr:rowOff>257175</xdr:rowOff>
    </xdr:from>
    <xdr:ext cx="0" cy="190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1381125</xdr:colOff>
      <xdr:row>3</xdr:row>
      <xdr:rowOff>123825</xdr:rowOff>
    </xdr:from>
    <xdr:ext cx="0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3171825</xdr:colOff>
      <xdr:row>20</xdr:row>
      <xdr:rowOff>0</xdr:rowOff>
    </xdr:from>
    <xdr:ext cx="0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3171825</xdr:colOff>
      <xdr:row>20</xdr:row>
      <xdr:rowOff>0</xdr:rowOff>
    </xdr:from>
    <xdr:ext cx="0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3171825</xdr:colOff>
      <xdr:row>22</xdr:row>
      <xdr:rowOff>0</xdr:rowOff>
    </xdr:from>
    <xdr:ext cx="0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3171825</xdr:colOff>
      <xdr:row>23</xdr:row>
      <xdr:rowOff>0</xdr:rowOff>
    </xdr:from>
    <xdr:ext cx="0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3171825</xdr:colOff>
      <xdr:row>23</xdr:row>
      <xdr:rowOff>0</xdr:rowOff>
    </xdr:from>
    <xdr:ext cx="0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3171825</xdr:colOff>
      <xdr:row>24</xdr:row>
      <xdr:rowOff>0</xdr:rowOff>
    </xdr:from>
    <xdr:ext cx="0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3171825</xdr:colOff>
      <xdr:row>25</xdr:row>
      <xdr:rowOff>0</xdr:rowOff>
    </xdr:from>
    <xdr:ext cx="0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3629025</xdr:colOff>
      <xdr:row>11</xdr:row>
      <xdr:rowOff>152400</xdr:rowOff>
    </xdr:from>
    <xdr:ext cx="0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1276350</xdr:colOff>
      <xdr:row>14</xdr:row>
      <xdr:rowOff>257175</xdr:rowOff>
    </xdr:from>
    <xdr:ext cx="0" cy="95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3171825</xdr:colOff>
      <xdr:row>24</xdr:row>
      <xdr:rowOff>0</xdr:rowOff>
    </xdr:from>
    <xdr:ext cx="0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3171825</xdr:colOff>
      <xdr:row>24</xdr:row>
      <xdr:rowOff>0</xdr:rowOff>
    </xdr:from>
    <xdr:ext cx="0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1276350</xdr:colOff>
      <xdr:row>14</xdr:row>
      <xdr:rowOff>0</xdr:rowOff>
    </xdr:from>
    <xdr:ext cx="0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1276350</xdr:colOff>
      <xdr:row>11</xdr:row>
      <xdr:rowOff>0</xdr:rowOff>
    </xdr:from>
    <xdr:ext cx="0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1276350</xdr:colOff>
      <xdr:row>10</xdr:row>
      <xdr:rowOff>257175</xdr:rowOff>
    </xdr:from>
    <xdr:ext cx="0" cy="95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3629025</xdr:colOff>
      <xdr:row>15</xdr:row>
      <xdr:rowOff>152400</xdr:rowOff>
    </xdr:from>
    <xdr:ext cx="0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1276350</xdr:colOff>
      <xdr:row>15</xdr:row>
      <xdr:rowOff>257175</xdr:rowOff>
    </xdr:from>
    <xdr:ext cx="0" cy="95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8.29"/>
    <col customWidth="1" min="3" max="3" width="68.29"/>
    <col customWidth="1" min="4" max="4" width="18.71"/>
    <col customWidth="1" min="5" max="5" width="111.14"/>
    <col customWidth="1" min="6" max="6" width="12.71"/>
    <col customWidth="1" min="7" max="7" width="35.14"/>
    <col customWidth="1" min="8" max="8" width="18.29"/>
    <col customWidth="1" min="9" max="9" width="17.29"/>
    <col customWidth="1" min="10" max="10" width="18.14"/>
    <col customWidth="1" min="11" max="11" width="20.43"/>
    <col customWidth="1" min="12" max="26" width="8.71"/>
  </cols>
  <sheetData>
    <row r="1">
      <c r="A1" s="1" t="s">
        <v>0</v>
      </c>
      <c r="B1" s="2"/>
      <c r="C1" s="1"/>
      <c r="D1" s="2"/>
      <c r="E1" s="1"/>
      <c r="F1" s="1"/>
      <c r="G1" s="3"/>
      <c r="H1" s="4" t="s">
        <v>1</v>
      </c>
      <c r="I1" s="4"/>
      <c r="J1" s="4"/>
      <c r="K1" s="3"/>
      <c r="L1" s="3"/>
      <c r="M1" s="5"/>
      <c r="N1" s="3"/>
      <c r="O1" s="3"/>
      <c r="P1" s="3"/>
      <c r="Q1" s="3"/>
      <c r="R1" s="3"/>
      <c r="S1" s="3"/>
      <c r="T1" s="3"/>
      <c r="U1" s="1"/>
      <c r="V1" s="1"/>
      <c r="W1" s="1"/>
      <c r="X1" s="3"/>
      <c r="Y1" s="3"/>
      <c r="Z1" s="3"/>
    </row>
    <row r="2">
      <c r="A2" s="1"/>
      <c r="B2" s="2"/>
      <c r="C2" s="1"/>
      <c r="D2" s="2"/>
      <c r="E2" s="1"/>
      <c r="F2" s="1"/>
      <c r="G2" s="3"/>
      <c r="H2" s="6" t="s">
        <v>2</v>
      </c>
      <c r="I2" s="6"/>
      <c r="J2" s="6"/>
      <c r="K2" s="3"/>
      <c r="L2" s="3"/>
      <c r="M2" s="5"/>
      <c r="N2" s="3"/>
      <c r="O2" s="3"/>
      <c r="P2" s="3"/>
      <c r="Q2" s="3"/>
      <c r="R2" s="3"/>
      <c r="S2" s="3"/>
      <c r="T2" s="3"/>
      <c r="U2" s="1"/>
      <c r="V2" s="1"/>
      <c r="W2" s="1"/>
      <c r="X2" s="3"/>
      <c r="Y2" s="3"/>
      <c r="Z2" s="3"/>
    </row>
    <row r="3">
      <c r="A3" s="3" t="s">
        <v>3</v>
      </c>
      <c r="B3" s="7"/>
      <c r="C3" s="8"/>
      <c r="D3" s="7"/>
      <c r="E3" s="3"/>
      <c r="F3" s="3"/>
      <c r="G3" s="3"/>
      <c r="H3" s="9" t="s">
        <v>4</v>
      </c>
      <c r="I3" s="9"/>
      <c r="J3" s="9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5</v>
      </c>
      <c r="B4" s="7"/>
      <c r="C4" s="10" t="s">
        <v>6</v>
      </c>
      <c r="D4" s="7"/>
      <c r="E4" s="3"/>
      <c r="F4" s="3"/>
      <c r="G4" s="3"/>
      <c r="H4" s="3"/>
      <c r="I4" s="3"/>
      <c r="J4" s="3"/>
      <c r="K4" s="3"/>
      <c r="L4" s="3"/>
      <c r="M4" s="3"/>
      <c r="N4" s="11"/>
      <c r="O4" s="11"/>
      <c r="P4" s="11"/>
      <c r="Q4" s="11"/>
      <c r="R4" s="11"/>
      <c r="S4" s="11"/>
      <c r="T4" s="11"/>
      <c r="U4" s="3"/>
      <c r="V4" s="3"/>
      <c r="W4" s="3"/>
      <c r="X4" s="3"/>
      <c r="Y4" s="3"/>
      <c r="Z4" s="3"/>
    </row>
    <row r="5">
      <c r="A5" s="3" t="s">
        <v>7</v>
      </c>
      <c r="B5" s="7"/>
      <c r="C5" s="3" t="s">
        <v>8</v>
      </c>
      <c r="D5" s="7"/>
      <c r="E5" s="3"/>
      <c r="F5" s="3"/>
      <c r="G5" s="12" t="s">
        <v>9</v>
      </c>
      <c r="H5" s="12"/>
      <c r="I5" s="12"/>
      <c r="J5" s="12"/>
      <c r="K5" s="3"/>
      <c r="L5" s="3"/>
      <c r="M5" s="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7" t="s">
        <v>10</v>
      </c>
      <c r="C6" s="13"/>
      <c r="D6" s="7"/>
      <c r="E6" s="3"/>
      <c r="F6" s="3"/>
      <c r="G6" s="12"/>
      <c r="H6" s="12"/>
      <c r="I6" s="12"/>
      <c r="J6" s="12"/>
      <c r="K6" s="3"/>
      <c r="L6" s="3"/>
      <c r="M6" s="3"/>
      <c r="N6" s="11"/>
      <c r="O6" s="11"/>
      <c r="P6" s="11"/>
      <c r="Q6" s="11"/>
      <c r="R6" s="11"/>
      <c r="S6" s="11"/>
      <c r="T6" s="11"/>
      <c r="U6" s="11"/>
      <c r="V6" s="11"/>
      <c r="W6" s="11"/>
      <c r="X6" s="3"/>
      <c r="Y6" s="3"/>
      <c r="Z6" s="3"/>
    </row>
    <row r="7">
      <c r="A7" s="3"/>
      <c r="B7" s="7"/>
      <c r="C7" s="3"/>
      <c r="D7" s="7"/>
      <c r="E7" s="14"/>
      <c r="F7" s="14"/>
      <c r="G7" s="12"/>
      <c r="H7" s="12"/>
      <c r="I7" s="12"/>
      <c r="J7" s="12"/>
      <c r="K7" s="15"/>
      <c r="L7" s="3"/>
      <c r="M7" s="3"/>
      <c r="N7" s="11"/>
      <c r="O7" s="11"/>
      <c r="P7" s="11"/>
      <c r="Q7" s="11"/>
      <c r="R7" s="11"/>
      <c r="S7" s="11"/>
      <c r="T7" s="11"/>
      <c r="U7" s="11"/>
      <c r="V7" s="11"/>
      <c r="W7" s="11"/>
      <c r="X7" s="3"/>
      <c r="Y7" s="3"/>
      <c r="Z7" s="3"/>
    </row>
    <row r="8">
      <c r="A8" s="16" t="s">
        <v>11</v>
      </c>
      <c r="B8" s="17"/>
      <c r="C8" s="18"/>
      <c r="D8" s="17"/>
      <c r="E8" s="18"/>
      <c r="F8" s="18"/>
      <c r="G8" s="18"/>
      <c r="H8" s="18"/>
      <c r="I8" s="18"/>
      <c r="J8" s="18"/>
      <c r="K8" s="19"/>
      <c r="L8" s="3"/>
      <c r="M8" s="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1.5" customHeight="1">
      <c r="A9" s="20" t="s">
        <v>12</v>
      </c>
      <c r="B9" s="21" t="s">
        <v>13</v>
      </c>
      <c r="C9" s="20" t="s">
        <v>14</v>
      </c>
      <c r="D9" s="22" t="s">
        <v>15</v>
      </c>
      <c r="E9" s="22" t="s">
        <v>16</v>
      </c>
      <c r="F9" s="22" t="s">
        <v>17</v>
      </c>
      <c r="G9" s="20" t="s">
        <v>18</v>
      </c>
      <c r="H9" s="23" t="s">
        <v>19</v>
      </c>
      <c r="I9" s="24"/>
      <c r="J9" s="25"/>
      <c r="K9" s="19"/>
      <c r="L9" s="3"/>
      <c r="M9" s="5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1.5" customHeight="1">
      <c r="A10" s="26"/>
      <c r="B10" s="26"/>
      <c r="C10" s="26"/>
      <c r="D10" s="26"/>
      <c r="E10" s="26"/>
      <c r="F10" s="26"/>
      <c r="G10" s="26"/>
      <c r="H10" s="27" t="s">
        <v>20</v>
      </c>
      <c r="I10" s="27" t="s">
        <v>21</v>
      </c>
      <c r="J10" s="27" t="s">
        <v>22</v>
      </c>
      <c r="K10" s="28" t="s">
        <v>23</v>
      </c>
      <c r="L10" s="3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20.25" customHeight="1">
      <c r="A11" s="30">
        <v>1.0</v>
      </c>
      <c r="B11" s="31"/>
      <c r="C11" s="32"/>
      <c r="D11" s="31"/>
      <c r="E11" s="33"/>
      <c r="F11" s="34"/>
      <c r="G11" s="30"/>
      <c r="H11" s="35"/>
      <c r="I11" s="36"/>
      <c r="J11" s="37"/>
      <c r="K11" s="38" t="s">
        <v>24</v>
      </c>
      <c r="L11" s="39"/>
      <c r="M11" s="39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39"/>
      <c r="Y11" s="39"/>
      <c r="Z11" s="39"/>
    </row>
    <row r="12" ht="20.25" customHeight="1">
      <c r="A12" s="30">
        <v>2.0</v>
      </c>
      <c r="B12" s="31"/>
      <c r="C12" s="41"/>
      <c r="D12" s="42"/>
      <c r="E12" s="33"/>
      <c r="F12" s="43"/>
      <c r="G12" s="44"/>
      <c r="H12" s="45"/>
      <c r="I12" s="46"/>
      <c r="J12" s="47"/>
      <c r="K12" s="38" t="s">
        <v>24</v>
      </c>
      <c r="L12" s="29"/>
      <c r="M12" s="29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29"/>
      <c r="Y12" s="29"/>
      <c r="Z12" s="29"/>
    </row>
    <row r="13" ht="20.25" customHeight="1">
      <c r="A13" s="49">
        <v>3.0</v>
      </c>
      <c r="B13" s="31"/>
      <c r="C13" s="32"/>
      <c r="D13" s="31"/>
      <c r="E13" s="33"/>
      <c r="F13" s="34"/>
      <c r="G13" s="44"/>
      <c r="H13" s="50"/>
      <c r="I13" s="51"/>
      <c r="J13" s="47"/>
      <c r="K13" s="38" t="s">
        <v>24</v>
      </c>
      <c r="L13" s="29"/>
      <c r="M13" s="29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29"/>
      <c r="Y13" s="29"/>
      <c r="Z13" s="29"/>
    </row>
    <row r="14" ht="20.25" customHeight="1">
      <c r="A14" s="49">
        <v>4.0</v>
      </c>
      <c r="B14" s="31"/>
      <c r="C14" s="32"/>
      <c r="D14" s="31"/>
      <c r="E14" s="33"/>
      <c r="F14" s="34"/>
      <c r="G14" s="44"/>
      <c r="H14" s="50"/>
      <c r="I14" s="51"/>
      <c r="J14" s="47"/>
      <c r="K14" s="38" t="s">
        <v>24</v>
      </c>
      <c r="L14" s="29"/>
      <c r="M14" s="29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29"/>
      <c r="Y14" s="29"/>
      <c r="Z14" s="29"/>
    </row>
    <row r="15" ht="20.25" customHeight="1">
      <c r="A15" s="49">
        <v>5.0</v>
      </c>
      <c r="B15" s="31"/>
      <c r="C15" s="32"/>
      <c r="D15" s="31"/>
      <c r="E15" s="33"/>
      <c r="F15" s="34"/>
      <c r="G15" s="44"/>
      <c r="H15" s="50"/>
      <c r="I15" s="51"/>
      <c r="J15" s="47"/>
      <c r="K15" s="38" t="s">
        <v>24</v>
      </c>
      <c r="L15" s="29"/>
      <c r="M15" s="29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29"/>
      <c r="Y15" s="29"/>
      <c r="Z15" s="29"/>
    </row>
    <row r="16" ht="20.25" customHeight="1">
      <c r="A16" s="49">
        <v>6.0</v>
      </c>
      <c r="B16" s="31"/>
      <c r="C16" s="52"/>
      <c r="D16" s="31"/>
      <c r="E16" s="53"/>
      <c r="F16" s="34"/>
      <c r="G16" s="44"/>
      <c r="H16" s="50"/>
      <c r="I16" s="51"/>
      <c r="J16" s="47"/>
      <c r="K16" s="38" t="s">
        <v>24</v>
      </c>
      <c r="L16" s="29"/>
      <c r="M16" s="2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29"/>
      <c r="Y16" s="29"/>
      <c r="Z16" s="29"/>
    </row>
    <row r="17" ht="20.25" customHeight="1">
      <c r="A17" s="49">
        <v>7.0</v>
      </c>
      <c r="B17" s="31"/>
      <c r="C17" s="54"/>
      <c r="D17" s="31"/>
      <c r="E17" s="53"/>
      <c r="F17" s="34"/>
      <c r="G17" s="44"/>
      <c r="H17" s="50"/>
      <c r="I17" s="51"/>
      <c r="J17" s="47"/>
      <c r="K17" s="38" t="s">
        <v>24</v>
      </c>
      <c r="L17" s="29"/>
      <c r="M17" s="29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29"/>
      <c r="Y17" s="29"/>
      <c r="Z17" s="29"/>
    </row>
    <row r="18" ht="20.25" customHeight="1">
      <c r="A18" s="49">
        <v>8.0</v>
      </c>
      <c r="B18" s="31"/>
      <c r="C18" s="55"/>
      <c r="D18" s="31"/>
      <c r="E18" s="53"/>
      <c r="F18" s="34"/>
      <c r="G18" s="44"/>
      <c r="H18" s="50"/>
      <c r="I18" s="51"/>
      <c r="J18" s="47"/>
      <c r="K18" s="38" t="s">
        <v>24</v>
      </c>
      <c r="L18" s="29"/>
      <c r="M18" s="56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20.25" customHeight="1">
      <c r="A19" s="49">
        <v>9.0</v>
      </c>
      <c r="B19" s="31"/>
      <c r="C19" s="57"/>
      <c r="D19" s="31"/>
      <c r="E19" s="53"/>
      <c r="F19" s="34"/>
      <c r="G19" s="44"/>
      <c r="H19" s="50"/>
      <c r="I19" s="51"/>
      <c r="J19" s="47"/>
      <c r="K19" s="38" t="s">
        <v>24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20.25" customHeight="1">
      <c r="A20" s="49">
        <v>10.0</v>
      </c>
      <c r="B20" s="31"/>
      <c r="C20" s="33"/>
      <c r="D20" s="31"/>
      <c r="E20" s="53"/>
      <c r="F20" s="34"/>
      <c r="G20" s="44"/>
      <c r="H20" s="50"/>
      <c r="I20" s="51"/>
      <c r="J20" s="47"/>
      <c r="K20" s="38" t="s">
        <v>24</v>
      </c>
      <c r="L20" s="29"/>
      <c r="M20" s="2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29"/>
      <c r="Y20" s="29"/>
      <c r="Z20" s="29"/>
    </row>
    <row r="21" ht="20.25" customHeight="1">
      <c r="A21" s="49">
        <v>11.0</v>
      </c>
      <c r="B21" s="31"/>
      <c r="C21" s="33"/>
      <c r="D21" s="31"/>
      <c r="E21" s="58"/>
      <c r="F21" s="34"/>
      <c r="G21" s="44"/>
      <c r="H21" s="50"/>
      <c r="I21" s="51"/>
      <c r="J21" s="47"/>
      <c r="K21" s="38" t="s">
        <v>24</v>
      </c>
      <c r="L21" s="29"/>
      <c r="M21" s="29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29"/>
      <c r="Y21" s="29"/>
      <c r="Z21" s="29"/>
    </row>
    <row r="22" ht="20.25" customHeight="1">
      <c r="A22" s="49">
        <v>12.0</v>
      </c>
      <c r="B22" s="31"/>
      <c r="C22" s="59"/>
      <c r="D22" s="31"/>
      <c r="E22" s="58"/>
      <c r="F22" s="34"/>
      <c r="G22" s="44"/>
      <c r="H22" s="60"/>
      <c r="I22" s="61"/>
      <c r="J22" s="47"/>
      <c r="K22" s="38" t="s">
        <v>24</v>
      </c>
      <c r="L22" s="29"/>
      <c r="M22" s="29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29"/>
      <c r="Y22" s="29"/>
      <c r="Z22" s="29"/>
    </row>
    <row r="23" ht="20.25" customHeight="1">
      <c r="A23" s="49">
        <v>13.0</v>
      </c>
      <c r="B23" s="62"/>
      <c r="C23" s="33"/>
      <c r="D23" s="31"/>
      <c r="E23" s="33"/>
      <c r="F23" s="33"/>
      <c r="G23" s="44"/>
      <c r="H23" s="33"/>
      <c r="I23" s="51"/>
      <c r="J23" s="47"/>
      <c r="K23" s="38" t="s">
        <v>24</v>
      </c>
      <c r="L23" s="29"/>
      <c r="M23" s="5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20.25" customHeight="1">
      <c r="A24" s="49">
        <v>14.0</v>
      </c>
      <c r="B24" s="62"/>
      <c r="C24" s="63"/>
      <c r="D24" s="31"/>
      <c r="E24" s="64"/>
      <c r="F24" s="34"/>
      <c r="G24" s="31"/>
      <c r="H24" s="50"/>
      <c r="I24" s="51"/>
      <c r="J24" s="47"/>
      <c r="K24" s="38" t="s">
        <v>24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20.25" customHeight="1">
      <c r="A25" s="49">
        <v>15.0</v>
      </c>
      <c r="B25" s="62"/>
      <c r="C25" s="65"/>
      <c r="D25" s="31"/>
      <c r="E25" s="64"/>
      <c r="F25" s="34"/>
      <c r="G25" s="31"/>
      <c r="H25" s="50"/>
      <c r="I25" s="51"/>
      <c r="J25" s="47"/>
      <c r="K25" s="38" t="s">
        <v>24</v>
      </c>
      <c r="L25" s="29"/>
      <c r="M25" s="29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29"/>
      <c r="Y25" s="29"/>
      <c r="Z25" s="29"/>
    </row>
    <row r="26" ht="20.25" customHeight="1">
      <c r="A26" s="49">
        <v>16.0</v>
      </c>
      <c r="B26" s="62"/>
      <c r="C26" s="66"/>
      <c r="D26" s="31"/>
      <c r="E26" s="66"/>
      <c r="F26" s="34"/>
      <c r="G26" s="31"/>
      <c r="H26" s="50"/>
      <c r="I26" s="51"/>
      <c r="J26" s="47"/>
      <c r="K26" s="38" t="s">
        <v>24</v>
      </c>
      <c r="L26" s="29"/>
      <c r="M26" s="29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29"/>
      <c r="Y26" s="29"/>
      <c r="Z26" s="29"/>
    </row>
    <row r="27" ht="20.25" customHeight="1">
      <c r="A27" s="49">
        <v>17.0</v>
      </c>
      <c r="B27" s="62"/>
      <c r="C27" s="67"/>
      <c r="D27" s="31"/>
      <c r="E27" s="66"/>
      <c r="F27" s="34"/>
      <c r="G27" s="31"/>
      <c r="H27" s="50"/>
      <c r="I27" s="51"/>
      <c r="J27" s="47"/>
      <c r="K27" s="38" t="s">
        <v>24</v>
      </c>
      <c r="L27" s="29"/>
      <c r="M27" s="29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29"/>
      <c r="Y27" s="29"/>
      <c r="Z27" s="29"/>
    </row>
    <row r="28" ht="20.25" customHeight="1">
      <c r="A28" s="49">
        <v>18.0</v>
      </c>
      <c r="B28" s="62"/>
      <c r="C28" s="68"/>
      <c r="D28" s="31"/>
      <c r="E28" s="66"/>
      <c r="F28" s="34"/>
      <c r="G28" s="31"/>
      <c r="H28" s="50"/>
      <c r="I28" s="51"/>
      <c r="J28" s="47"/>
      <c r="K28" s="38" t="s">
        <v>24</v>
      </c>
      <c r="L28" s="29"/>
      <c r="M28" s="2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29"/>
      <c r="Y28" s="29"/>
      <c r="Z28" s="29"/>
    </row>
    <row r="29" ht="20.25" customHeight="1">
      <c r="A29" s="49">
        <v>19.0</v>
      </c>
      <c r="B29" s="62"/>
      <c r="C29" s="68"/>
      <c r="D29" s="31"/>
      <c r="E29" s="66"/>
      <c r="F29" s="34"/>
      <c r="G29" s="31"/>
      <c r="H29" s="50"/>
      <c r="I29" s="51"/>
      <c r="J29" s="47"/>
      <c r="K29" s="38" t="s">
        <v>24</v>
      </c>
      <c r="L29" s="29"/>
      <c r="M29" s="29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29"/>
      <c r="Y29" s="29"/>
      <c r="Z29" s="29"/>
    </row>
    <row r="30" ht="20.25" customHeight="1">
      <c r="A30" s="49">
        <v>20.0</v>
      </c>
      <c r="B30" s="62"/>
      <c r="C30" s="68"/>
      <c r="D30" s="31"/>
      <c r="E30" s="66"/>
      <c r="F30" s="34"/>
      <c r="G30" s="31"/>
      <c r="H30" s="50"/>
      <c r="I30" s="51"/>
      <c r="J30" s="47"/>
      <c r="K30" s="38" t="s">
        <v>24</v>
      </c>
      <c r="L30" s="29"/>
      <c r="M30" s="29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29"/>
      <c r="Y30" s="29"/>
      <c r="Z30" s="29"/>
    </row>
    <row r="31" ht="20.25" customHeight="1">
      <c r="A31" s="49">
        <v>21.0</v>
      </c>
      <c r="B31" s="62"/>
      <c r="C31" s="68"/>
      <c r="D31" s="31"/>
      <c r="E31" s="66"/>
      <c r="F31" s="34"/>
      <c r="G31" s="31"/>
      <c r="H31" s="50"/>
      <c r="I31" s="51"/>
      <c r="J31" s="47"/>
      <c r="K31" s="38" t="s">
        <v>24</v>
      </c>
      <c r="L31" s="29"/>
      <c r="M31" s="29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29"/>
      <c r="Y31" s="29"/>
      <c r="Z31" s="29"/>
    </row>
    <row r="32" ht="20.25" customHeight="1">
      <c r="A32" s="49">
        <v>22.0</v>
      </c>
      <c r="B32" s="62"/>
      <c r="C32" s="68"/>
      <c r="D32" s="31"/>
      <c r="E32" s="66"/>
      <c r="F32" s="34"/>
      <c r="G32" s="31"/>
      <c r="H32" s="50"/>
      <c r="I32" s="51"/>
      <c r="J32" s="47"/>
      <c r="K32" s="38" t="s">
        <v>24</v>
      </c>
      <c r="L32" s="29"/>
      <c r="M32" s="2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29"/>
      <c r="Y32" s="29"/>
      <c r="Z32" s="29"/>
    </row>
    <row r="33" ht="20.25" customHeight="1">
      <c r="A33" s="49">
        <v>23.0</v>
      </c>
      <c r="B33" s="62"/>
      <c r="C33" s="68"/>
      <c r="D33" s="31"/>
      <c r="E33" s="66"/>
      <c r="F33" s="34"/>
      <c r="G33" s="31"/>
      <c r="H33" s="50"/>
      <c r="I33" s="51"/>
      <c r="J33" s="47"/>
      <c r="K33" s="38" t="s">
        <v>24</v>
      </c>
      <c r="L33" s="29"/>
      <c r="M33" s="29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29"/>
      <c r="Y33" s="29"/>
      <c r="Z33" s="29"/>
    </row>
    <row r="34" ht="20.25" customHeight="1">
      <c r="A34" s="49">
        <v>24.0</v>
      </c>
      <c r="B34" s="62"/>
      <c r="C34" s="68"/>
      <c r="D34" s="31"/>
      <c r="E34" s="64"/>
      <c r="F34" s="34"/>
      <c r="G34" s="31"/>
      <c r="H34" s="50"/>
      <c r="I34" s="51"/>
      <c r="J34" s="47"/>
      <c r="K34" s="38" t="s">
        <v>24</v>
      </c>
      <c r="L34" s="29"/>
      <c r="M34" s="2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3"/>
      <c r="Y34" s="3"/>
      <c r="Z34" s="3"/>
    </row>
    <row r="35" ht="20.25" customHeight="1">
      <c r="A35" s="49">
        <v>25.0</v>
      </c>
      <c r="B35" s="62"/>
      <c r="C35" s="68"/>
      <c r="D35" s="31"/>
      <c r="E35" s="64"/>
      <c r="F35" s="69"/>
      <c r="G35" s="70"/>
      <c r="H35" s="71"/>
      <c r="I35" s="72"/>
      <c r="J35" s="73"/>
      <c r="K35" s="38" t="s">
        <v>24</v>
      </c>
      <c r="L35" s="3"/>
      <c r="M35" s="3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3"/>
      <c r="Y35" s="3"/>
      <c r="Z35" s="3"/>
    </row>
    <row r="36" ht="20.25" customHeight="1">
      <c r="A36" s="49">
        <v>26.0</v>
      </c>
      <c r="B36" s="62"/>
      <c r="C36" s="68"/>
      <c r="D36" s="31"/>
      <c r="E36" s="64"/>
      <c r="F36" s="69"/>
      <c r="G36" s="70"/>
      <c r="H36" s="71"/>
      <c r="I36" s="72"/>
      <c r="J36" s="73"/>
      <c r="K36" s="38" t="s">
        <v>24</v>
      </c>
      <c r="L36" s="3"/>
      <c r="M36" s="3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3"/>
      <c r="Y36" s="3"/>
      <c r="Z36" s="3"/>
    </row>
    <row r="37" ht="20.25" customHeight="1">
      <c r="A37" s="49">
        <v>27.0</v>
      </c>
      <c r="B37" s="62"/>
      <c r="C37" s="68"/>
      <c r="D37" s="31"/>
      <c r="E37" s="64"/>
      <c r="F37" s="69"/>
      <c r="G37" s="70"/>
      <c r="H37" s="71"/>
      <c r="I37" s="72"/>
      <c r="J37" s="73"/>
      <c r="K37" s="38" t="s">
        <v>24</v>
      </c>
      <c r="L37" s="3"/>
      <c r="M37" s="3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3"/>
      <c r="Y37" s="3"/>
      <c r="Z37" s="3"/>
    </row>
    <row r="38" ht="20.25" customHeight="1">
      <c r="A38" s="49">
        <v>28.0</v>
      </c>
      <c r="B38" s="62"/>
      <c r="C38" s="68"/>
      <c r="D38" s="31"/>
      <c r="E38" s="64"/>
      <c r="F38" s="69"/>
      <c r="G38" s="70"/>
      <c r="H38" s="71"/>
      <c r="I38" s="72"/>
      <c r="J38" s="73"/>
      <c r="K38" s="38" t="s">
        <v>24</v>
      </c>
      <c r="L38" s="3"/>
      <c r="M38" s="3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3"/>
      <c r="Y38" s="3"/>
      <c r="Z38" s="3"/>
    </row>
    <row r="39" ht="20.25" customHeight="1">
      <c r="A39" s="49">
        <v>29.0</v>
      </c>
      <c r="B39" s="62"/>
      <c r="C39" s="68"/>
      <c r="D39" s="31"/>
      <c r="E39" s="64"/>
      <c r="F39" s="69"/>
      <c r="G39" s="70"/>
      <c r="H39" s="71"/>
      <c r="I39" s="72"/>
      <c r="J39" s="73"/>
      <c r="K39" s="38" t="s">
        <v>24</v>
      </c>
      <c r="L39" s="3"/>
      <c r="M39" s="3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3"/>
      <c r="Y39" s="3"/>
      <c r="Z39" s="3"/>
    </row>
    <row r="40" ht="20.25" customHeight="1">
      <c r="A40" s="49">
        <v>30.0</v>
      </c>
      <c r="B40" s="62"/>
      <c r="C40" s="68"/>
      <c r="D40" s="31"/>
      <c r="E40" s="64"/>
      <c r="F40" s="69"/>
      <c r="G40" s="70"/>
      <c r="H40" s="71"/>
      <c r="I40" s="72"/>
      <c r="J40" s="73"/>
      <c r="K40" s="38" t="s">
        <v>24</v>
      </c>
      <c r="L40" s="3"/>
      <c r="M40" s="3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3"/>
      <c r="Y40" s="3"/>
      <c r="Z40" s="3"/>
    </row>
    <row r="41" ht="15.75" customHeight="1">
      <c r="A41" s="74"/>
      <c r="B41" s="75"/>
      <c r="C41" s="75"/>
      <c r="D41" s="75"/>
      <c r="E41" s="75"/>
      <c r="F41" s="76"/>
      <c r="G41" s="77" t="s">
        <v>25</v>
      </c>
      <c r="H41" s="78">
        <f t="shared" ref="H41:J41" si="1">SUM(H42:H47)</f>
        <v>0</v>
      </c>
      <c r="I41" s="78">
        <f t="shared" si="1"/>
        <v>0</v>
      </c>
      <c r="J41" s="78">
        <f t="shared" si="1"/>
        <v>0</v>
      </c>
      <c r="K41" s="3"/>
      <c r="L41" s="3"/>
      <c r="M41" s="3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3"/>
      <c r="Y41" s="3"/>
      <c r="Z41" s="3"/>
    </row>
    <row r="42" ht="15.75" customHeight="1">
      <c r="A42" s="74"/>
      <c r="B42" s="75"/>
      <c r="C42" s="75"/>
      <c r="D42" s="75"/>
      <c r="E42" s="75"/>
      <c r="F42" s="76"/>
      <c r="G42" s="79" t="s">
        <v>26</v>
      </c>
      <c r="H42" s="80">
        <f t="shared" ref="H42:H47" si="3">SUMIF($G$10:$G$40, $G42, H$10:H$40)</f>
        <v>0</v>
      </c>
      <c r="I42" s="80">
        <f t="shared" ref="I42:J42" si="2">SUMIF($G$10:$G$40,$G42,I$10:I$40)</f>
        <v>0</v>
      </c>
      <c r="J42" s="80">
        <f t="shared" si="2"/>
        <v>0</v>
      </c>
      <c r="K42" s="3"/>
      <c r="L42" s="3"/>
      <c r="M42" s="3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3"/>
      <c r="Y42" s="3"/>
      <c r="Z42" s="3"/>
    </row>
    <row r="43" ht="15.75" customHeight="1">
      <c r="A43" s="75"/>
      <c r="B43" s="75"/>
      <c r="C43" s="75"/>
      <c r="D43" s="75"/>
      <c r="E43" s="75"/>
      <c r="F43" s="76"/>
      <c r="G43" s="79" t="s">
        <v>27</v>
      </c>
      <c r="H43" s="80">
        <f t="shared" si="3"/>
        <v>0</v>
      </c>
      <c r="I43" s="80">
        <f t="shared" ref="I43:J43" si="4">SUMIF($G$10:$G$40,$G43,I$10:I$40)</f>
        <v>0</v>
      </c>
      <c r="J43" s="80">
        <f t="shared" si="4"/>
        <v>0</v>
      </c>
      <c r="K43" s="3"/>
      <c r="L43" s="3"/>
      <c r="M43" s="3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3"/>
      <c r="Y43" s="3"/>
      <c r="Z43" s="3"/>
    </row>
    <row r="44" ht="15.75" customHeight="1">
      <c r="A44" s="75"/>
      <c r="B44" s="75"/>
      <c r="C44" s="75"/>
      <c r="D44" s="75"/>
      <c r="E44" s="75"/>
      <c r="F44" s="76"/>
      <c r="G44" s="79" t="s">
        <v>28</v>
      </c>
      <c r="H44" s="80">
        <f t="shared" si="3"/>
        <v>0</v>
      </c>
      <c r="I44" s="80">
        <f t="shared" ref="I44:J44" si="5">SUMIF($G$10:$G$40,$G44,I$10:I$40)</f>
        <v>0</v>
      </c>
      <c r="J44" s="80">
        <f t="shared" si="5"/>
        <v>0</v>
      </c>
      <c r="K44" s="3"/>
      <c r="L44" s="3"/>
      <c r="M44" s="3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3"/>
      <c r="Y44" s="3"/>
      <c r="Z44" s="3"/>
    </row>
    <row r="45" ht="15.75" customHeight="1">
      <c r="A45" s="75"/>
      <c r="B45" s="75"/>
      <c r="C45" s="75"/>
      <c r="D45" s="75"/>
      <c r="E45" s="75"/>
      <c r="F45" s="76"/>
      <c r="G45" s="79" t="s">
        <v>29</v>
      </c>
      <c r="H45" s="80">
        <f t="shared" si="3"/>
        <v>0</v>
      </c>
      <c r="I45" s="80">
        <f t="shared" ref="I45:J45" si="6">SUMIF($G$10:$G$40,$G45,I$10:I$40)</f>
        <v>0</v>
      </c>
      <c r="J45" s="80">
        <f t="shared" si="6"/>
        <v>0</v>
      </c>
      <c r="K45" s="3"/>
      <c r="L45" s="3"/>
      <c r="M45" s="3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3"/>
      <c r="Y45" s="3"/>
      <c r="Z45" s="3"/>
    </row>
    <row r="46" ht="15.75" customHeight="1">
      <c r="A46" s="75"/>
      <c r="B46" s="75"/>
      <c r="C46" s="75"/>
      <c r="D46" s="75"/>
      <c r="E46" s="75"/>
      <c r="F46" s="76"/>
      <c r="G46" s="79" t="s">
        <v>30</v>
      </c>
      <c r="H46" s="80">
        <f t="shared" si="3"/>
        <v>0</v>
      </c>
      <c r="I46" s="80">
        <f t="shared" ref="I46:J46" si="7">SUMIF($G$10:$G$40,$G46,I$10:I$40)</f>
        <v>0</v>
      </c>
      <c r="J46" s="80">
        <f t="shared" si="7"/>
        <v>0</v>
      </c>
      <c r="K46" s="3"/>
      <c r="L46" s="3"/>
      <c r="M46" s="3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3"/>
      <c r="Y46" s="3"/>
      <c r="Z46" s="3"/>
    </row>
    <row r="47" ht="16.5" customHeight="1">
      <c r="A47" s="75"/>
      <c r="B47" s="75"/>
      <c r="C47" s="75"/>
      <c r="D47" s="75"/>
      <c r="E47" s="75"/>
      <c r="F47" s="76"/>
      <c r="G47" s="79" t="s">
        <v>31</v>
      </c>
      <c r="H47" s="80">
        <f t="shared" si="3"/>
        <v>0</v>
      </c>
      <c r="I47" s="80">
        <f t="shared" ref="I47:J47" si="8">SUMIF($G$10:$G$40,$G47,I$10:I$40)</f>
        <v>0</v>
      </c>
      <c r="J47" s="80">
        <f t="shared" si="8"/>
        <v>0</v>
      </c>
      <c r="K47" s="15"/>
      <c r="L47" s="3"/>
      <c r="M47" s="3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3"/>
      <c r="Y47" s="3"/>
      <c r="Z47" s="3"/>
    </row>
    <row r="48" ht="15.75" customHeight="1">
      <c r="A48" s="75"/>
      <c r="B48" s="75"/>
      <c r="C48" s="75"/>
      <c r="D48" s="75"/>
      <c r="E48" s="75"/>
      <c r="F48" s="76"/>
      <c r="G48" s="77" t="s">
        <v>32</v>
      </c>
      <c r="H48" s="78">
        <f t="shared" ref="H48:J48" si="9">SUM(H49:H54)</f>
        <v>0</v>
      </c>
      <c r="I48" s="78">
        <f t="shared" si="9"/>
        <v>0</v>
      </c>
      <c r="J48" s="78">
        <f t="shared" si="9"/>
        <v>0</v>
      </c>
      <c r="K48" s="15"/>
      <c r="L48" s="3"/>
      <c r="M48" s="3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3"/>
      <c r="Y48" s="3"/>
      <c r="Z48" s="3"/>
    </row>
    <row r="49" ht="16.5" customHeight="1">
      <c r="A49" s="75"/>
      <c r="B49" s="75"/>
      <c r="C49" s="75"/>
      <c r="D49" s="75"/>
      <c r="E49" s="75"/>
      <c r="F49" s="76"/>
      <c r="G49" s="81" t="s">
        <v>33</v>
      </c>
      <c r="H49" s="80">
        <f t="shared" ref="H49:H54" si="11">SUMIF($G$10:$G$40, $G49, H$10:H$40)</f>
        <v>0</v>
      </c>
      <c r="I49" s="80">
        <f t="shared" ref="I49:J49" si="10">SUMIF($G$10:$G$40,$G49,I$10:I$40)</f>
        <v>0</v>
      </c>
      <c r="J49" s="80">
        <f t="shared" si="10"/>
        <v>0</v>
      </c>
      <c r="K49" s="15"/>
      <c r="L49" s="3"/>
      <c r="M49" s="3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3"/>
      <c r="Y49" s="3"/>
      <c r="Z49" s="3"/>
    </row>
    <row r="50" ht="16.5" customHeight="1">
      <c r="A50" s="75"/>
      <c r="B50" s="75"/>
      <c r="C50" s="75"/>
      <c r="D50" s="75"/>
      <c r="E50" s="75"/>
      <c r="F50" s="76"/>
      <c r="G50" s="81" t="s">
        <v>34</v>
      </c>
      <c r="H50" s="80">
        <f t="shared" si="11"/>
        <v>0</v>
      </c>
      <c r="I50" s="80">
        <f t="shared" ref="I50:J50" si="12">SUMIF($G$10:$G$40,$G50,I$10:I$40)</f>
        <v>0</v>
      </c>
      <c r="J50" s="80">
        <f t="shared" si="12"/>
        <v>0</v>
      </c>
      <c r="K50" s="15"/>
      <c r="L50" s="3"/>
      <c r="M50" s="3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3"/>
      <c r="Y50" s="3"/>
      <c r="Z50" s="3"/>
    </row>
    <row r="51" ht="16.5" customHeight="1">
      <c r="A51" s="75"/>
      <c r="B51" s="75"/>
      <c r="C51" s="75"/>
      <c r="D51" s="75"/>
      <c r="E51" s="75"/>
      <c r="F51" s="76"/>
      <c r="G51" s="81" t="s">
        <v>35</v>
      </c>
      <c r="H51" s="80">
        <f t="shared" si="11"/>
        <v>0</v>
      </c>
      <c r="I51" s="80">
        <f t="shared" ref="I51:J51" si="13">SUMIF($G$10:$G$40,$G51,I$10:I$40)</f>
        <v>0</v>
      </c>
      <c r="J51" s="80">
        <f t="shared" si="13"/>
        <v>0</v>
      </c>
      <c r="K51" s="15"/>
      <c r="L51" s="3"/>
      <c r="M51" s="3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3"/>
      <c r="Y51" s="3"/>
      <c r="Z51" s="3"/>
    </row>
    <row r="52" ht="16.5" customHeight="1">
      <c r="A52" s="75"/>
      <c r="B52" s="75"/>
      <c r="C52" s="75"/>
      <c r="D52" s="75"/>
      <c r="E52" s="75"/>
      <c r="F52" s="76"/>
      <c r="G52" s="81" t="s">
        <v>36</v>
      </c>
      <c r="H52" s="80">
        <f t="shared" si="11"/>
        <v>0</v>
      </c>
      <c r="I52" s="80">
        <f t="shared" ref="I52:J52" si="14">SUMIF($G$10:$G$40,$G52,I$10:I$40)</f>
        <v>0</v>
      </c>
      <c r="J52" s="80">
        <f t="shared" si="14"/>
        <v>0</v>
      </c>
      <c r="K52" s="15"/>
      <c r="L52" s="3"/>
      <c r="M52" s="3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3"/>
      <c r="Y52" s="3"/>
      <c r="Z52" s="3"/>
    </row>
    <row r="53" ht="16.5" customHeight="1">
      <c r="A53" s="75"/>
      <c r="B53" s="75"/>
      <c r="C53" s="75"/>
      <c r="D53" s="75"/>
      <c r="E53" s="75"/>
      <c r="F53" s="76"/>
      <c r="G53" s="81" t="s">
        <v>37</v>
      </c>
      <c r="H53" s="80">
        <f t="shared" si="11"/>
        <v>0</v>
      </c>
      <c r="I53" s="80">
        <f t="shared" ref="I53:J53" si="15">SUMIF($G$10:$G$40,$G53,I$10:I$40)</f>
        <v>0</v>
      </c>
      <c r="J53" s="80">
        <f t="shared" si="15"/>
        <v>0</v>
      </c>
      <c r="K53" s="15"/>
      <c r="L53" s="3"/>
      <c r="M53" s="3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3"/>
      <c r="Y53" s="3"/>
      <c r="Z53" s="3"/>
    </row>
    <row r="54" ht="16.5" customHeight="1">
      <c r="A54" s="75"/>
      <c r="B54" s="75"/>
      <c r="C54" s="75"/>
      <c r="D54" s="75"/>
      <c r="E54" s="75"/>
      <c r="F54" s="76"/>
      <c r="G54" s="81" t="s">
        <v>38</v>
      </c>
      <c r="H54" s="80">
        <f t="shared" si="11"/>
        <v>0</v>
      </c>
      <c r="I54" s="80">
        <f t="shared" ref="I54:J54" si="16">SUMIF($G$10:$G$40,$G54,I$10:I$40)</f>
        <v>0</v>
      </c>
      <c r="J54" s="80">
        <f t="shared" si="16"/>
        <v>0</v>
      </c>
      <c r="K54" s="3"/>
      <c r="L54" s="3"/>
      <c r="M54" s="3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3"/>
      <c r="Y54" s="3"/>
      <c r="Z54" s="3"/>
    </row>
    <row r="55" ht="15.75" customHeight="1">
      <c r="A55" s="75"/>
      <c r="B55" s="75"/>
      <c r="C55" s="75"/>
      <c r="D55" s="75"/>
      <c r="E55" s="75"/>
      <c r="F55" s="76"/>
      <c r="G55" s="82" t="s">
        <v>39</v>
      </c>
      <c r="H55" s="78">
        <f>SUM(H56:H58)</f>
        <v>0</v>
      </c>
      <c r="I55" s="80"/>
      <c r="J55" s="80"/>
      <c r="K55" s="3"/>
      <c r="L55" s="3"/>
      <c r="M55" s="3"/>
      <c r="N55" s="3"/>
      <c r="O55" s="3"/>
      <c r="P55" s="1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75"/>
      <c r="B56" s="75"/>
      <c r="C56" s="75"/>
      <c r="D56" s="75"/>
      <c r="E56" s="75"/>
      <c r="F56" s="76"/>
      <c r="G56" s="83" t="s">
        <v>40</v>
      </c>
      <c r="H56" s="80">
        <f t="shared" ref="H56:H60" si="17">SUMIF($G$10:$G$40, $G56, H$10:H$40)</f>
        <v>0</v>
      </c>
      <c r="I56" s="80"/>
      <c r="J56" s="80"/>
      <c r="K56" s="3"/>
      <c r="L56" s="3"/>
      <c r="M56" s="3"/>
      <c r="N56" s="3"/>
      <c r="O56" s="3"/>
      <c r="P56" s="1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75"/>
      <c r="B57" s="75"/>
      <c r="C57" s="75"/>
      <c r="D57" s="75"/>
      <c r="E57" s="75"/>
      <c r="F57" s="76"/>
      <c r="G57" s="83" t="s">
        <v>41</v>
      </c>
      <c r="H57" s="80">
        <f t="shared" si="17"/>
        <v>0</v>
      </c>
      <c r="I57" s="80"/>
      <c r="J57" s="80"/>
      <c r="K57" s="3"/>
      <c r="L57" s="3"/>
      <c r="M57" s="3"/>
      <c r="N57" s="3"/>
      <c r="O57" s="3"/>
      <c r="P57" s="1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75"/>
      <c r="B58" s="75"/>
      <c r="C58" s="75"/>
      <c r="D58" s="75"/>
      <c r="E58" s="75"/>
      <c r="F58" s="76"/>
      <c r="G58" s="83" t="s">
        <v>42</v>
      </c>
      <c r="H58" s="80">
        <f t="shared" si="17"/>
        <v>0</v>
      </c>
      <c r="I58" s="80"/>
      <c r="J58" s="80"/>
      <c r="K58" s="3"/>
      <c r="L58" s="3"/>
      <c r="M58" s="3"/>
      <c r="N58" s="3"/>
      <c r="O58" s="3"/>
      <c r="P58" s="1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75"/>
      <c r="B59" s="75"/>
      <c r="C59" s="75"/>
      <c r="D59" s="75"/>
      <c r="E59" s="75"/>
      <c r="F59" s="76"/>
      <c r="G59" s="77" t="s">
        <v>43</v>
      </c>
      <c r="H59" s="80">
        <f t="shared" si="17"/>
        <v>0</v>
      </c>
      <c r="I59" s="80">
        <f t="shared" ref="I59:J59" si="18">SUMIF($G$10:$G$40,$G59,I$10:I$40)</f>
        <v>0</v>
      </c>
      <c r="J59" s="80">
        <f t="shared" si="18"/>
        <v>0</v>
      </c>
      <c r="K59" s="3"/>
      <c r="L59" s="3"/>
      <c r="M59" s="3"/>
      <c r="N59" s="3"/>
      <c r="O59" s="3"/>
      <c r="P59" s="1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75"/>
      <c r="B60" s="75"/>
      <c r="C60" s="75"/>
      <c r="D60" s="75"/>
      <c r="E60" s="75"/>
      <c r="F60" s="76"/>
      <c r="G60" s="77" t="s">
        <v>44</v>
      </c>
      <c r="H60" s="80">
        <f t="shared" si="17"/>
        <v>0</v>
      </c>
      <c r="I60" s="80">
        <f t="shared" ref="I60:J60" si="19">SUMIF($G$10:$G$40,$G60,I$10:I$40)</f>
        <v>0</v>
      </c>
      <c r="J60" s="80">
        <f t="shared" si="19"/>
        <v>0</v>
      </c>
      <c r="K60" s="3"/>
      <c r="L60" s="3"/>
      <c r="M60" s="3"/>
      <c r="N60" s="3"/>
      <c r="O60" s="3"/>
      <c r="P60" s="1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75"/>
      <c r="B61" s="75"/>
      <c r="C61" s="75"/>
      <c r="D61" s="75"/>
      <c r="E61" s="75"/>
      <c r="F61" s="76"/>
      <c r="G61" s="84" t="s">
        <v>45</v>
      </c>
      <c r="H61" s="85">
        <f t="shared" ref="H61:J61" si="20">SUM(H11:H40)</f>
        <v>0</v>
      </c>
      <c r="I61" s="85">
        <f t="shared" si="20"/>
        <v>0</v>
      </c>
      <c r="J61" s="85">
        <f t="shared" si="20"/>
        <v>0</v>
      </c>
      <c r="K61" s="3"/>
      <c r="L61" s="3"/>
      <c r="M61" s="3"/>
      <c r="N61" s="3"/>
      <c r="O61" s="3"/>
      <c r="P61" s="1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75"/>
      <c r="B62" s="75"/>
      <c r="C62" s="75"/>
      <c r="D62" s="75"/>
      <c r="E62" s="75"/>
      <c r="F62" s="76"/>
      <c r="G62" s="86" t="s">
        <v>46</v>
      </c>
      <c r="H62" s="3">
        <f>SUMIF($K$10:$K$40, $G62 , H$10:H$40)</f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75"/>
      <c r="B63" s="75"/>
      <c r="C63" s="75"/>
      <c r="D63" s="75"/>
      <c r="E63" s="75"/>
      <c r="F63" s="76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75"/>
      <c r="B64" s="75"/>
      <c r="C64" s="75"/>
      <c r="D64" s="75"/>
      <c r="E64" s="75"/>
      <c r="F64" s="76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75"/>
      <c r="B65" s="75"/>
      <c r="C65" s="75"/>
      <c r="D65" s="75"/>
      <c r="E65" s="75"/>
      <c r="F65" s="76"/>
      <c r="G65" s="87"/>
      <c r="H65" s="88"/>
      <c r="I65" s="88"/>
      <c r="J65" s="88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75"/>
      <c r="B66" s="75"/>
      <c r="C66" s="75"/>
      <c r="D66" s="75"/>
      <c r="E66" s="75"/>
      <c r="F66" s="76"/>
      <c r="G66" s="1" t="s">
        <v>47</v>
      </c>
      <c r="H66" s="86"/>
      <c r="I66" s="1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75"/>
      <c r="B67" s="75"/>
      <c r="C67" s="75"/>
      <c r="D67" s="75"/>
      <c r="E67" s="75"/>
      <c r="F67" s="76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75"/>
      <c r="B68" s="75"/>
      <c r="C68" s="75"/>
      <c r="D68" s="75"/>
      <c r="E68" s="75"/>
      <c r="F68" s="76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75"/>
      <c r="B69" s="75"/>
      <c r="C69" s="75"/>
      <c r="D69" s="75"/>
      <c r="E69" s="75"/>
      <c r="F69" s="76"/>
      <c r="G69" s="87"/>
      <c r="H69" s="88"/>
      <c r="I69" s="88"/>
      <c r="J69" s="88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75"/>
      <c r="B70" s="75"/>
      <c r="C70" s="75"/>
      <c r="D70" s="75"/>
      <c r="E70" s="75"/>
      <c r="F70" s="76"/>
      <c r="G70" s="1" t="s">
        <v>48</v>
      </c>
      <c r="H70" s="86"/>
      <c r="I70" s="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75"/>
      <c r="B71" s="75"/>
      <c r="C71" s="75"/>
      <c r="D71" s="75"/>
      <c r="E71" s="75"/>
      <c r="F71" s="76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75"/>
      <c r="B72" s="75"/>
      <c r="C72" s="75"/>
      <c r="D72" s="75"/>
      <c r="E72" s="75"/>
      <c r="F72" s="76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75"/>
      <c r="B73" s="75"/>
      <c r="C73" s="75"/>
      <c r="D73" s="75"/>
      <c r="E73" s="75"/>
      <c r="F73" s="76"/>
      <c r="G73" s="89"/>
      <c r="H73" s="88"/>
      <c r="I73" s="88"/>
      <c r="J73" s="88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90"/>
      <c r="B74" s="90"/>
      <c r="C74" s="90"/>
      <c r="D74" s="90"/>
      <c r="E74" s="90"/>
      <c r="F74" s="76"/>
      <c r="G74" s="1" t="s">
        <v>49</v>
      </c>
      <c r="H74" s="91"/>
      <c r="I74" s="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92" t="s">
        <v>50</v>
      </c>
      <c r="B75" s="93"/>
      <c r="C75" s="94"/>
      <c r="D75" s="95"/>
      <c r="E75" s="94"/>
      <c r="F75" s="94"/>
      <c r="G75" s="94"/>
      <c r="H75" s="94"/>
      <c r="I75" s="94"/>
      <c r="J75" s="94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5.75" customHeight="1">
      <c r="A76" s="97" t="s">
        <v>51</v>
      </c>
      <c r="B76" s="98"/>
      <c r="C76" s="98"/>
      <c r="D76" s="98"/>
      <c r="E76" s="98"/>
      <c r="F76" s="98"/>
      <c r="G76" s="98"/>
      <c r="H76" s="98"/>
      <c r="I76" s="98"/>
      <c r="J76" s="98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7.25" customHeight="1">
      <c r="A77" s="99" t="s">
        <v>52</v>
      </c>
      <c r="B77" s="98"/>
      <c r="C77" s="98"/>
      <c r="D77" s="98"/>
      <c r="E77" s="98"/>
      <c r="F77" s="98"/>
      <c r="G77" s="98"/>
      <c r="H77" s="98"/>
      <c r="I77" s="98"/>
      <c r="J77" s="98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5.75" customHeight="1">
      <c r="A78" s="3"/>
      <c r="B78" s="7"/>
      <c r="C78" s="3"/>
      <c r="D78" s="7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7"/>
      <c r="C79" s="3"/>
      <c r="D79" s="7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7"/>
      <c r="C80" s="3"/>
      <c r="D80" s="7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7"/>
      <c r="C81" s="3"/>
      <c r="D81" s="7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7"/>
      <c r="C82" s="3"/>
      <c r="D82" s="7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7"/>
      <c r="C83" s="3"/>
      <c r="D83" s="7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7"/>
      <c r="C84" s="3"/>
      <c r="D84" s="7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7"/>
      <c r="C85" s="3"/>
      <c r="D85" s="7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7"/>
      <c r="C86" s="3"/>
      <c r="D86" s="7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7"/>
      <c r="C87" s="3"/>
      <c r="D87" s="7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7"/>
      <c r="C88" s="3"/>
      <c r="D88" s="7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7"/>
      <c r="C89" s="3"/>
      <c r="D89" s="7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7"/>
      <c r="C90" s="3"/>
      <c r="D90" s="7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7"/>
      <c r="C91" s="3"/>
      <c r="D91" s="7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7"/>
      <c r="C92" s="3"/>
      <c r="D92" s="7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7"/>
      <c r="C93" s="3"/>
      <c r="D93" s="7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7"/>
      <c r="C94" s="3"/>
      <c r="D94" s="7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7"/>
      <c r="C95" s="3"/>
      <c r="D95" s="7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7"/>
      <c r="C96" s="3"/>
      <c r="D96" s="7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7"/>
      <c r="C97" s="3"/>
      <c r="D97" s="7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7"/>
      <c r="C98" s="3"/>
      <c r="D98" s="7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7"/>
      <c r="C99" s="3"/>
      <c r="D99" s="7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7"/>
      <c r="C100" s="3"/>
      <c r="D100" s="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7"/>
      <c r="C101" s="3"/>
      <c r="D101" s="7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7"/>
      <c r="C102" s="3"/>
      <c r="D102" s="7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7"/>
      <c r="C103" s="3"/>
      <c r="D103" s="7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7"/>
      <c r="C104" s="3"/>
      <c r="D104" s="7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7"/>
      <c r="C105" s="3"/>
      <c r="D105" s="7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7"/>
      <c r="C106" s="3"/>
      <c r="D106" s="7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7"/>
      <c r="C107" s="3"/>
      <c r="D107" s="7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7"/>
      <c r="C108" s="3"/>
      <c r="D108" s="7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7"/>
      <c r="C109" s="3"/>
      <c r="D109" s="7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7"/>
      <c r="C110" s="3"/>
      <c r="D110" s="7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7"/>
      <c r="C111" s="3"/>
      <c r="D111" s="7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7"/>
      <c r="C112" s="3"/>
      <c r="D112" s="7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7"/>
      <c r="C113" s="3"/>
      <c r="D113" s="7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7"/>
      <c r="C114" s="3"/>
      <c r="D114" s="7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7"/>
      <c r="C115" s="3"/>
      <c r="D115" s="7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7"/>
      <c r="C116" s="3"/>
      <c r="D116" s="7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7"/>
      <c r="C117" s="3"/>
      <c r="D117" s="7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7"/>
      <c r="C118" s="3"/>
      <c r="D118" s="7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7"/>
      <c r="C119" s="3"/>
      <c r="D119" s="7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7"/>
      <c r="C120" s="3"/>
      <c r="D120" s="7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7"/>
      <c r="C121" s="3"/>
      <c r="D121" s="7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7"/>
      <c r="C122" s="3"/>
      <c r="D122" s="7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7"/>
      <c r="C123" s="3"/>
      <c r="D123" s="7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7"/>
      <c r="C124" s="3"/>
      <c r="D124" s="7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7"/>
      <c r="C125" s="3"/>
      <c r="D125" s="7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7"/>
      <c r="C126" s="3"/>
      <c r="D126" s="7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7"/>
      <c r="C127" s="3"/>
      <c r="D127" s="7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7"/>
      <c r="C128" s="3"/>
      <c r="D128" s="7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7"/>
      <c r="C129" s="3"/>
      <c r="D129" s="7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7"/>
      <c r="C130" s="3"/>
      <c r="D130" s="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7"/>
      <c r="C131" s="3"/>
      <c r="D131" s="7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7"/>
      <c r="C132" s="3"/>
      <c r="D132" s="7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7"/>
      <c r="C133" s="3"/>
      <c r="D133" s="7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7"/>
      <c r="C134" s="3"/>
      <c r="D134" s="7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7"/>
      <c r="C135" s="3"/>
      <c r="D135" s="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7"/>
      <c r="C136" s="3"/>
      <c r="D136" s="7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7"/>
      <c r="C137" s="3"/>
      <c r="D137" s="7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7"/>
      <c r="C138" s="3"/>
      <c r="D138" s="7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7"/>
      <c r="C139" s="3"/>
      <c r="D139" s="7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7"/>
      <c r="C140" s="3"/>
      <c r="D140" s="7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7"/>
      <c r="C141" s="3"/>
      <c r="D141" s="7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7"/>
      <c r="C142" s="3"/>
      <c r="D142" s="7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7"/>
      <c r="C143" s="3"/>
      <c r="D143" s="7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7"/>
      <c r="C144" s="3"/>
      <c r="D144" s="7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7"/>
      <c r="C145" s="3"/>
      <c r="D145" s="7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7"/>
      <c r="C146" s="3"/>
      <c r="D146" s="7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7"/>
      <c r="C147" s="3"/>
      <c r="D147" s="7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7"/>
      <c r="C148" s="3"/>
      <c r="D148" s="7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7"/>
      <c r="C149" s="3"/>
      <c r="D149" s="7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7"/>
      <c r="C150" s="3"/>
      <c r="D150" s="7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7"/>
      <c r="C151" s="3"/>
      <c r="D151" s="7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7"/>
      <c r="C152" s="3"/>
      <c r="D152" s="7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7"/>
      <c r="C153" s="3"/>
      <c r="D153" s="7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7"/>
      <c r="C154" s="3"/>
      <c r="D154" s="7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7"/>
      <c r="C155" s="3"/>
      <c r="D155" s="7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7"/>
      <c r="C156" s="3"/>
      <c r="D156" s="7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7"/>
      <c r="C157" s="3"/>
      <c r="D157" s="7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7"/>
      <c r="C158" s="3"/>
      <c r="D158" s="7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7"/>
      <c r="C159" s="3"/>
      <c r="D159" s="7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7"/>
      <c r="C160" s="3"/>
      <c r="D160" s="7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7"/>
      <c r="C161" s="3"/>
      <c r="D161" s="7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7"/>
      <c r="C162" s="3"/>
      <c r="D162" s="7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7"/>
      <c r="C163" s="3"/>
      <c r="D163" s="7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7"/>
      <c r="C164" s="3"/>
      <c r="D164" s="7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7"/>
      <c r="C165" s="3"/>
      <c r="D165" s="7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7"/>
      <c r="C166" s="3"/>
      <c r="D166" s="7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7"/>
      <c r="C167" s="3"/>
      <c r="D167" s="7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7"/>
      <c r="C168" s="3"/>
      <c r="D168" s="7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7"/>
      <c r="C169" s="3"/>
      <c r="D169" s="7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7"/>
      <c r="C170" s="3"/>
      <c r="D170" s="7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7"/>
      <c r="C171" s="3"/>
      <c r="D171" s="7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7"/>
      <c r="C172" s="3"/>
      <c r="D172" s="7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7"/>
      <c r="C173" s="3"/>
      <c r="D173" s="7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7"/>
      <c r="C174" s="3"/>
      <c r="D174" s="7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7"/>
      <c r="C175" s="3"/>
      <c r="D175" s="7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7"/>
      <c r="C176" s="3"/>
      <c r="D176" s="7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7"/>
      <c r="C177" s="3"/>
      <c r="D177" s="7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7"/>
      <c r="C178" s="3"/>
      <c r="D178" s="7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7"/>
      <c r="C179" s="3"/>
      <c r="D179" s="7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7"/>
      <c r="C180" s="3"/>
      <c r="D180" s="7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7"/>
      <c r="C181" s="3"/>
      <c r="D181" s="7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7"/>
      <c r="C182" s="3"/>
      <c r="D182" s="7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7"/>
      <c r="C183" s="3"/>
      <c r="D183" s="7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7"/>
      <c r="C184" s="3"/>
      <c r="D184" s="7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7"/>
      <c r="C185" s="3"/>
      <c r="D185" s="7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7"/>
      <c r="C186" s="3"/>
      <c r="D186" s="7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7"/>
      <c r="C187" s="3"/>
      <c r="D187" s="7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7"/>
      <c r="C188" s="3"/>
      <c r="D188" s="7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7"/>
      <c r="C189" s="3"/>
      <c r="D189" s="7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7"/>
      <c r="C190" s="3"/>
      <c r="D190" s="7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7"/>
      <c r="C191" s="3"/>
      <c r="D191" s="7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7"/>
      <c r="C192" s="3"/>
      <c r="D192" s="7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7"/>
      <c r="C193" s="3"/>
      <c r="D193" s="7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7"/>
      <c r="C194" s="3"/>
      <c r="D194" s="7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7"/>
      <c r="C195" s="3"/>
      <c r="D195" s="7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7"/>
      <c r="C196" s="3"/>
      <c r="D196" s="7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7"/>
      <c r="C197" s="3"/>
      <c r="D197" s="7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7"/>
      <c r="C198" s="3"/>
      <c r="D198" s="7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7"/>
      <c r="C199" s="3"/>
      <c r="D199" s="7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7"/>
      <c r="C200" s="3"/>
      <c r="D200" s="7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7"/>
      <c r="C201" s="3"/>
      <c r="D201" s="7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7"/>
      <c r="C202" s="3"/>
      <c r="D202" s="7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7"/>
      <c r="C203" s="3"/>
      <c r="D203" s="7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7"/>
      <c r="C204" s="3"/>
      <c r="D204" s="7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7"/>
      <c r="C205" s="3"/>
      <c r="D205" s="7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7"/>
      <c r="C206" s="3"/>
      <c r="D206" s="7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7"/>
      <c r="C207" s="3"/>
      <c r="D207" s="7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7"/>
      <c r="C208" s="3"/>
      <c r="D208" s="7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7"/>
      <c r="C209" s="3"/>
      <c r="D209" s="7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7"/>
      <c r="C210" s="3"/>
      <c r="D210" s="7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7"/>
      <c r="C211" s="3"/>
      <c r="D211" s="7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7"/>
      <c r="C212" s="3"/>
      <c r="D212" s="7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7"/>
      <c r="C213" s="3"/>
      <c r="D213" s="7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7"/>
      <c r="C214" s="3"/>
      <c r="D214" s="7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7"/>
      <c r="C215" s="3"/>
      <c r="D215" s="7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7"/>
      <c r="C216" s="3"/>
      <c r="D216" s="7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7"/>
      <c r="C217" s="3"/>
      <c r="D217" s="7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7"/>
      <c r="C218" s="3"/>
      <c r="D218" s="7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7"/>
      <c r="C219" s="3"/>
      <c r="D219" s="7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7"/>
      <c r="C220" s="3"/>
      <c r="D220" s="7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7"/>
      <c r="C221" s="3"/>
      <c r="D221" s="7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7"/>
      <c r="C222" s="3"/>
      <c r="D222" s="7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7"/>
      <c r="C223" s="3"/>
      <c r="D223" s="7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7"/>
      <c r="C224" s="3"/>
      <c r="D224" s="7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7"/>
      <c r="C225" s="3"/>
      <c r="D225" s="7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7"/>
      <c r="C226" s="3"/>
      <c r="D226" s="7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7"/>
      <c r="C227" s="3"/>
      <c r="D227" s="7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7"/>
      <c r="C228" s="3"/>
      <c r="D228" s="7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7"/>
      <c r="C229" s="3"/>
      <c r="D229" s="7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7"/>
      <c r="C230" s="3"/>
      <c r="D230" s="7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7"/>
      <c r="C231" s="3"/>
      <c r="D231" s="7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7"/>
      <c r="C232" s="3"/>
      <c r="D232" s="7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7"/>
      <c r="C233" s="3"/>
      <c r="D233" s="7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7"/>
      <c r="C234" s="3"/>
      <c r="D234" s="7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7"/>
      <c r="C235" s="3"/>
      <c r="D235" s="7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7"/>
      <c r="C236" s="3"/>
      <c r="D236" s="7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7"/>
      <c r="C237" s="3"/>
      <c r="D237" s="7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7"/>
      <c r="C238" s="3"/>
      <c r="D238" s="7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7"/>
      <c r="C239" s="3"/>
      <c r="D239" s="7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7"/>
      <c r="C240" s="3"/>
      <c r="D240" s="7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7"/>
      <c r="C241" s="3"/>
      <c r="D241" s="7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7"/>
      <c r="C242" s="3"/>
      <c r="D242" s="7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7"/>
      <c r="C243" s="3"/>
      <c r="D243" s="7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7"/>
      <c r="C244" s="3"/>
      <c r="D244" s="7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7"/>
      <c r="C245" s="3"/>
      <c r="D245" s="7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7"/>
      <c r="C246" s="3"/>
      <c r="D246" s="7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7"/>
      <c r="C247" s="3"/>
      <c r="D247" s="7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7"/>
      <c r="C248" s="3"/>
      <c r="D248" s="7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7"/>
      <c r="C249" s="3"/>
      <c r="D249" s="7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7"/>
      <c r="C250" s="3"/>
      <c r="D250" s="7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7"/>
      <c r="C251" s="3"/>
      <c r="D251" s="7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7"/>
      <c r="C252" s="3"/>
      <c r="D252" s="7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7"/>
      <c r="C253" s="3"/>
      <c r="D253" s="7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7"/>
      <c r="C254" s="3"/>
      <c r="D254" s="7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7"/>
      <c r="C255" s="3"/>
      <c r="D255" s="7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7"/>
      <c r="C256" s="3"/>
      <c r="D256" s="7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7"/>
      <c r="C257" s="3"/>
      <c r="D257" s="7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7"/>
      <c r="C258" s="3"/>
      <c r="D258" s="7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7"/>
      <c r="C259" s="3"/>
      <c r="D259" s="7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7"/>
      <c r="C260" s="3"/>
      <c r="D260" s="7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7"/>
      <c r="C261" s="3"/>
      <c r="D261" s="7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7"/>
      <c r="C262" s="3"/>
      <c r="D262" s="7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7"/>
      <c r="C263" s="3"/>
      <c r="D263" s="7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7"/>
      <c r="C264" s="3"/>
      <c r="D264" s="7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7"/>
      <c r="C265" s="3"/>
      <c r="D265" s="7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7"/>
      <c r="C266" s="3"/>
      <c r="D266" s="7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7"/>
      <c r="C267" s="3"/>
      <c r="D267" s="7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7"/>
      <c r="C268" s="3"/>
      <c r="D268" s="7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7"/>
      <c r="C269" s="3"/>
      <c r="D269" s="7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7"/>
      <c r="C270" s="3"/>
      <c r="D270" s="7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7"/>
      <c r="C271" s="3"/>
      <c r="D271" s="7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7"/>
      <c r="C272" s="3"/>
      <c r="D272" s="7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7"/>
      <c r="C273" s="3"/>
      <c r="D273" s="7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7"/>
      <c r="C274" s="3"/>
      <c r="D274" s="7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7"/>
      <c r="C275" s="3"/>
      <c r="D275" s="7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7"/>
      <c r="C276" s="3"/>
      <c r="D276" s="7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7"/>
      <c r="C277" s="3"/>
      <c r="D277" s="7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7"/>
      <c r="C278" s="3"/>
      <c r="D278" s="7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7"/>
      <c r="C279" s="3"/>
      <c r="D279" s="7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7"/>
      <c r="C280" s="3"/>
      <c r="D280" s="7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7"/>
      <c r="C281" s="3"/>
      <c r="D281" s="7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7"/>
      <c r="C282" s="3"/>
      <c r="D282" s="7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7"/>
      <c r="C283" s="3"/>
      <c r="D283" s="7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7"/>
      <c r="C284" s="3"/>
      <c r="D284" s="7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7"/>
      <c r="C285" s="3"/>
      <c r="D285" s="7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7"/>
      <c r="C286" s="3"/>
      <c r="D286" s="7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7"/>
      <c r="C287" s="3"/>
      <c r="D287" s="7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7"/>
      <c r="C288" s="3"/>
      <c r="D288" s="7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7"/>
      <c r="C289" s="3"/>
      <c r="D289" s="7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7"/>
      <c r="C290" s="3"/>
      <c r="D290" s="7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7"/>
      <c r="C291" s="3"/>
      <c r="D291" s="7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7"/>
      <c r="C292" s="3"/>
      <c r="D292" s="7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7"/>
      <c r="C293" s="3"/>
      <c r="D293" s="7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7"/>
      <c r="C294" s="3"/>
      <c r="D294" s="7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7"/>
      <c r="C295" s="3"/>
      <c r="D295" s="7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7"/>
      <c r="C296" s="3"/>
      <c r="D296" s="7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7"/>
      <c r="C297" s="3"/>
      <c r="D297" s="7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7"/>
      <c r="C298" s="3"/>
      <c r="D298" s="7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7"/>
      <c r="C299" s="3"/>
      <c r="D299" s="7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7"/>
      <c r="C300" s="3"/>
      <c r="D300" s="7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7"/>
      <c r="C301" s="3"/>
      <c r="D301" s="7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7"/>
      <c r="C302" s="3"/>
      <c r="D302" s="7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7"/>
      <c r="C303" s="3"/>
      <c r="D303" s="7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7"/>
      <c r="C304" s="3"/>
      <c r="D304" s="7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7"/>
      <c r="C305" s="3"/>
      <c r="D305" s="7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7"/>
      <c r="C306" s="3"/>
      <c r="D306" s="7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7"/>
      <c r="C307" s="3"/>
      <c r="D307" s="7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7"/>
      <c r="C308" s="3"/>
      <c r="D308" s="7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7"/>
      <c r="C309" s="3"/>
      <c r="D309" s="7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7"/>
      <c r="C310" s="3"/>
      <c r="D310" s="7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7"/>
      <c r="C311" s="3"/>
      <c r="D311" s="7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7"/>
      <c r="C312" s="3"/>
      <c r="D312" s="7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7"/>
      <c r="C313" s="3"/>
      <c r="D313" s="7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7"/>
      <c r="C314" s="3"/>
      <c r="D314" s="7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7"/>
      <c r="C315" s="3"/>
      <c r="D315" s="7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7"/>
      <c r="C316" s="3"/>
      <c r="D316" s="7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7"/>
      <c r="C317" s="3"/>
      <c r="D317" s="7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7"/>
      <c r="C318" s="3"/>
      <c r="D318" s="7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7"/>
      <c r="C319" s="3"/>
      <c r="D319" s="7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7"/>
      <c r="C320" s="3"/>
      <c r="D320" s="7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7"/>
      <c r="C321" s="3"/>
      <c r="D321" s="7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7"/>
      <c r="C322" s="3"/>
      <c r="D322" s="7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7"/>
      <c r="C323" s="3"/>
      <c r="D323" s="7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7"/>
      <c r="C324" s="3"/>
      <c r="D324" s="7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7"/>
      <c r="C325" s="3"/>
      <c r="D325" s="7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7"/>
      <c r="C326" s="3"/>
      <c r="D326" s="7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7"/>
      <c r="C327" s="3"/>
      <c r="D327" s="7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7"/>
      <c r="C328" s="3"/>
      <c r="D328" s="7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7"/>
      <c r="C329" s="3"/>
      <c r="D329" s="7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7"/>
      <c r="C330" s="3"/>
      <c r="D330" s="7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7"/>
      <c r="C331" s="3"/>
      <c r="D331" s="7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7"/>
      <c r="C332" s="3"/>
      <c r="D332" s="7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7"/>
      <c r="C333" s="3"/>
      <c r="D333" s="7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7"/>
      <c r="C334" s="3"/>
      <c r="D334" s="7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7"/>
      <c r="C335" s="3"/>
      <c r="D335" s="7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7"/>
      <c r="C336" s="3"/>
      <c r="D336" s="7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7"/>
      <c r="C337" s="3"/>
      <c r="D337" s="7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7"/>
      <c r="C338" s="3"/>
      <c r="D338" s="7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7"/>
      <c r="C339" s="3"/>
      <c r="D339" s="7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7"/>
      <c r="C340" s="3"/>
      <c r="D340" s="7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7"/>
      <c r="C341" s="3"/>
      <c r="D341" s="7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7"/>
      <c r="C342" s="3"/>
      <c r="D342" s="7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7"/>
      <c r="C343" s="3"/>
      <c r="D343" s="7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7"/>
      <c r="C344" s="3"/>
      <c r="D344" s="7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7"/>
      <c r="C345" s="3"/>
      <c r="D345" s="7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7"/>
      <c r="C346" s="3"/>
      <c r="D346" s="7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7"/>
      <c r="C347" s="3"/>
      <c r="D347" s="7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7"/>
      <c r="C348" s="3"/>
      <c r="D348" s="7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7"/>
      <c r="C349" s="3"/>
      <c r="D349" s="7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7"/>
      <c r="C350" s="3"/>
      <c r="D350" s="7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7"/>
      <c r="C351" s="3"/>
      <c r="D351" s="7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7"/>
      <c r="C352" s="3"/>
      <c r="D352" s="7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7"/>
      <c r="C353" s="3"/>
      <c r="D353" s="7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7"/>
      <c r="C354" s="3"/>
      <c r="D354" s="7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7"/>
      <c r="C355" s="3"/>
      <c r="D355" s="7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7"/>
      <c r="C356" s="3"/>
      <c r="D356" s="7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7"/>
      <c r="C357" s="3"/>
      <c r="D357" s="7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7"/>
      <c r="C358" s="3"/>
      <c r="D358" s="7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7"/>
      <c r="C359" s="3"/>
      <c r="D359" s="7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7"/>
      <c r="C360" s="3"/>
      <c r="D360" s="7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7"/>
      <c r="C361" s="3"/>
      <c r="D361" s="7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7"/>
      <c r="C362" s="3"/>
      <c r="D362" s="7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7"/>
      <c r="C363" s="3"/>
      <c r="D363" s="7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7"/>
      <c r="C364" s="3"/>
      <c r="D364" s="7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7"/>
      <c r="C365" s="3"/>
      <c r="D365" s="7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7"/>
      <c r="C366" s="3"/>
      <c r="D366" s="7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7"/>
      <c r="C367" s="3"/>
      <c r="D367" s="7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7"/>
      <c r="C368" s="3"/>
      <c r="D368" s="7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7"/>
      <c r="C369" s="3"/>
      <c r="D369" s="7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7"/>
      <c r="C370" s="3"/>
      <c r="D370" s="7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7"/>
      <c r="C371" s="3"/>
      <c r="D371" s="7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7"/>
      <c r="C372" s="3"/>
      <c r="D372" s="7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7"/>
      <c r="C373" s="3"/>
      <c r="D373" s="7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7"/>
      <c r="C374" s="3"/>
      <c r="D374" s="7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7"/>
      <c r="C375" s="3"/>
      <c r="D375" s="7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7"/>
      <c r="C376" s="3"/>
      <c r="D376" s="7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7"/>
      <c r="C377" s="3"/>
      <c r="D377" s="7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7"/>
      <c r="C378" s="3"/>
      <c r="D378" s="7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7"/>
      <c r="C379" s="3"/>
      <c r="D379" s="7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7"/>
      <c r="C380" s="3"/>
      <c r="D380" s="7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7"/>
      <c r="C381" s="3"/>
      <c r="D381" s="7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7"/>
      <c r="C382" s="3"/>
      <c r="D382" s="7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7"/>
      <c r="C383" s="3"/>
      <c r="D383" s="7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7"/>
      <c r="C384" s="3"/>
      <c r="D384" s="7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7"/>
      <c r="C385" s="3"/>
      <c r="D385" s="7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7"/>
      <c r="C386" s="3"/>
      <c r="D386" s="7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7"/>
      <c r="C387" s="3"/>
      <c r="D387" s="7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7"/>
      <c r="C388" s="3"/>
      <c r="D388" s="7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7"/>
      <c r="C389" s="3"/>
      <c r="D389" s="7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7"/>
      <c r="C390" s="3"/>
      <c r="D390" s="7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7"/>
      <c r="C391" s="3"/>
      <c r="D391" s="7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7"/>
      <c r="C392" s="3"/>
      <c r="D392" s="7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7"/>
      <c r="C393" s="3"/>
      <c r="D393" s="7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7"/>
      <c r="C394" s="3"/>
      <c r="D394" s="7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7"/>
      <c r="C395" s="3"/>
      <c r="D395" s="7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7"/>
      <c r="C396" s="3"/>
      <c r="D396" s="7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7"/>
      <c r="C397" s="3"/>
      <c r="D397" s="7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7"/>
      <c r="C398" s="3"/>
      <c r="D398" s="7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7"/>
      <c r="C399" s="3"/>
      <c r="D399" s="7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7"/>
      <c r="C400" s="3"/>
      <c r="D400" s="7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7"/>
      <c r="C401" s="3"/>
      <c r="D401" s="7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7"/>
      <c r="C402" s="3"/>
      <c r="D402" s="7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7"/>
      <c r="C403" s="3"/>
      <c r="D403" s="7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7"/>
      <c r="C404" s="3"/>
      <c r="D404" s="7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7"/>
      <c r="C405" s="3"/>
      <c r="D405" s="7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7"/>
      <c r="C406" s="3"/>
      <c r="D406" s="7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7"/>
      <c r="C407" s="3"/>
      <c r="D407" s="7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7"/>
      <c r="C408" s="3"/>
      <c r="D408" s="7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7"/>
      <c r="C409" s="3"/>
      <c r="D409" s="7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7"/>
      <c r="C410" s="3"/>
      <c r="D410" s="7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7"/>
      <c r="C411" s="3"/>
      <c r="D411" s="7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7"/>
      <c r="C412" s="3"/>
      <c r="D412" s="7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7"/>
      <c r="C413" s="3"/>
      <c r="D413" s="7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7"/>
      <c r="C414" s="3"/>
      <c r="D414" s="7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7"/>
      <c r="C415" s="3"/>
      <c r="D415" s="7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7"/>
      <c r="C416" s="3"/>
      <c r="D416" s="7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7"/>
      <c r="C417" s="3"/>
      <c r="D417" s="7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7"/>
      <c r="C418" s="3"/>
      <c r="D418" s="7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7"/>
      <c r="C419" s="3"/>
      <c r="D419" s="7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7"/>
      <c r="C420" s="3"/>
      <c r="D420" s="7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7"/>
      <c r="C421" s="3"/>
      <c r="D421" s="7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7"/>
      <c r="C422" s="3"/>
      <c r="D422" s="7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7"/>
      <c r="C423" s="3"/>
      <c r="D423" s="7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7"/>
      <c r="C424" s="3"/>
      <c r="D424" s="7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7"/>
      <c r="C425" s="3"/>
      <c r="D425" s="7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7"/>
      <c r="C426" s="3"/>
      <c r="D426" s="7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7"/>
      <c r="C427" s="3"/>
      <c r="D427" s="7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7"/>
      <c r="C428" s="3"/>
      <c r="D428" s="7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7"/>
      <c r="C429" s="3"/>
      <c r="D429" s="7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7"/>
      <c r="C430" s="3"/>
      <c r="D430" s="7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7"/>
      <c r="C431" s="3"/>
      <c r="D431" s="7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7"/>
      <c r="C432" s="3"/>
      <c r="D432" s="7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7"/>
      <c r="C433" s="3"/>
      <c r="D433" s="7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7"/>
      <c r="C434" s="3"/>
      <c r="D434" s="7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7"/>
      <c r="C435" s="3"/>
      <c r="D435" s="7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7"/>
      <c r="C436" s="3"/>
      <c r="D436" s="7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7"/>
      <c r="C437" s="3"/>
      <c r="D437" s="7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7"/>
      <c r="C438" s="3"/>
      <c r="D438" s="7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7"/>
      <c r="C439" s="3"/>
      <c r="D439" s="7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7"/>
      <c r="C440" s="3"/>
      <c r="D440" s="7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7"/>
      <c r="C441" s="3"/>
      <c r="D441" s="7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7"/>
      <c r="C442" s="3"/>
      <c r="D442" s="7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7"/>
      <c r="C443" s="3"/>
      <c r="D443" s="7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7"/>
      <c r="C444" s="3"/>
      <c r="D444" s="7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7"/>
      <c r="C445" s="3"/>
      <c r="D445" s="7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7"/>
      <c r="C446" s="3"/>
      <c r="D446" s="7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7"/>
      <c r="C447" s="3"/>
      <c r="D447" s="7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7"/>
      <c r="C448" s="3"/>
      <c r="D448" s="7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7"/>
      <c r="C449" s="3"/>
      <c r="D449" s="7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7"/>
      <c r="C450" s="3"/>
      <c r="D450" s="7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7"/>
      <c r="C451" s="3"/>
      <c r="D451" s="7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7"/>
      <c r="C452" s="3"/>
      <c r="D452" s="7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7"/>
      <c r="C453" s="3"/>
      <c r="D453" s="7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7"/>
      <c r="C454" s="3"/>
      <c r="D454" s="7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7"/>
      <c r="C455" s="3"/>
      <c r="D455" s="7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7"/>
      <c r="C456" s="3"/>
      <c r="D456" s="7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7"/>
      <c r="C457" s="3"/>
      <c r="D457" s="7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7"/>
      <c r="C458" s="3"/>
      <c r="D458" s="7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7"/>
      <c r="C459" s="3"/>
      <c r="D459" s="7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7"/>
      <c r="C460" s="3"/>
      <c r="D460" s="7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7"/>
      <c r="C461" s="3"/>
      <c r="D461" s="7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7"/>
      <c r="C462" s="3"/>
      <c r="D462" s="7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7"/>
      <c r="C463" s="3"/>
      <c r="D463" s="7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7"/>
      <c r="C464" s="3"/>
      <c r="D464" s="7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7"/>
      <c r="C465" s="3"/>
      <c r="D465" s="7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7"/>
      <c r="C466" s="3"/>
      <c r="D466" s="7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7"/>
      <c r="C467" s="3"/>
      <c r="D467" s="7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7"/>
      <c r="C468" s="3"/>
      <c r="D468" s="7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7"/>
      <c r="C469" s="3"/>
      <c r="D469" s="7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7"/>
      <c r="C470" s="3"/>
      <c r="D470" s="7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7"/>
      <c r="C471" s="3"/>
      <c r="D471" s="7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7"/>
      <c r="C472" s="3"/>
      <c r="D472" s="7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7"/>
      <c r="C473" s="3"/>
      <c r="D473" s="7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7"/>
      <c r="C474" s="3"/>
      <c r="D474" s="7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7"/>
      <c r="C475" s="3"/>
      <c r="D475" s="7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7"/>
      <c r="C476" s="3"/>
      <c r="D476" s="7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7"/>
      <c r="C477" s="3"/>
      <c r="D477" s="7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7"/>
      <c r="C478" s="3"/>
      <c r="D478" s="7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7"/>
      <c r="C479" s="3"/>
      <c r="D479" s="7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7"/>
      <c r="C480" s="3"/>
      <c r="D480" s="7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7"/>
      <c r="C481" s="3"/>
      <c r="D481" s="7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7"/>
      <c r="C482" s="3"/>
      <c r="D482" s="7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7"/>
      <c r="C483" s="3"/>
      <c r="D483" s="7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7"/>
      <c r="C484" s="3"/>
      <c r="D484" s="7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7"/>
      <c r="C485" s="3"/>
      <c r="D485" s="7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7"/>
      <c r="C486" s="3"/>
      <c r="D486" s="7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7"/>
      <c r="C487" s="3"/>
      <c r="D487" s="7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7"/>
      <c r="C488" s="3"/>
      <c r="D488" s="7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7"/>
      <c r="C489" s="3"/>
      <c r="D489" s="7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7"/>
      <c r="C490" s="3"/>
      <c r="D490" s="7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7"/>
      <c r="C491" s="3"/>
      <c r="D491" s="7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7"/>
      <c r="C492" s="3"/>
      <c r="D492" s="7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7"/>
      <c r="C493" s="3"/>
      <c r="D493" s="7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7"/>
      <c r="C494" s="3"/>
      <c r="D494" s="7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7"/>
      <c r="C495" s="3"/>
      <c r="D495" s="7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7"/>
      <c r="C496" s="3"/>
      <c r="D496" s="7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7"/>
      <c r="C497" s="3"/>
      <c r="D497" s="7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7"/>
      <c r="C498" s="3"/>
      <c r="D498" s="7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7"/>
      <c r="C499" s="3"/>
      <c r="D499" s="7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7"/>
      <c r="C500" s="3"/>
      <c r="D500" s="7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7"/>
      <c r="C501" s="3"/>
      <c r="D501" s="7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7"/>
      <c r="C502" s="3"/>
      <c r="D502" s="7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7"/>
      <c r="C503" s="3"/>
      <c r="D503" s="7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7"/>
      <c r="C504" s="3"/>
      <c r="D504" s="7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7"/>
      <c r="C505" s="3"/>
      <c r="D505" s="7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7"/>
      <c r="C506" s="3"/>
      <c r="D506" s="7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7"/>
      <c r="C507" s="3"/>
      <c r="D507" s="7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7"/>
      <c r="C508" s="3"/>
      <c r="D508" s="7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7"/>
      <c r="C509" s="3"/>
      <c r="D509" s="7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7"/>
      <c r="C510" s="3"/>
      <c r="D510" s="7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7"/>
      <c r="C511" s="3"/>
      <c r="D511" s="7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7"/>
      <c r="C512" s="3"/>
      <c r="D512" s="7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7"/>
      <c r="C513" s="3"/>
      <c r="D513" s="7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7"/>
      <c r="C514" s="3"/>
      <c r="D514" s="7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7"/>
      <c r="C515" s="3"/>
      <c r="D515" s="7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7"/>
      <c r="C516" s="3"/>
      <c r="D516" s="7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7"/>
      <c r="C517" s="3"/>
      <c r="D517" s="7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7"/>
      <c r="C518" s="3"/>
      <c r="D518" s="7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7"/>
      <c r="C519" s="3"/>
      <c r="D519" s="7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7"/>
      <c r="C520" s="3"/>
      <c r="D520" s="7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7"/>
      <c r="C521" s="3"/>
      <c r="D521" s="7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7"/>
      <c r="C522" s="3"/>
      <c r="D522" s="7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7"/>
      <c r="C523" s="3"/>
      <c r="D523" s="7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7"/>
      <c r="C524" s="3"/>
      <c r="D524" s="7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7"/>
      <c r="C525" s="3"/>
      <c r="D525" s="7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7"/>
      <c r="C526" s="3"/>
      <c r="D526" s="7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7"/>
      <c r="C527" s="3"/>
      <c r="D527" s="7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7"/>
      <c r="C528" s="3"/>
      <c r="D528" s="7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7"/>
      <c r="C529" s="3"/>
      <c r="D529" s="7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7"/>
      <c r="C530" s="3"/>
      <c r="D530" s="7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7"/>
      <c r="C531" s="3"/>
      <c r="D531" s="7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7"/>
      <c r="C532" s="3"/>
      <c r="D532" s="7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7"/>
      <c r="C533" s="3"/>
      <c r="D533" s="7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7"/>
      <c r="C534" s="3"/>
      <c r="D534" s="7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7"/>
      <c r="C535" s="3"/>
      <c r="D535" s="7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7"/>
      <c r="C536" s="3"/>
      <c r="D536" s="7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7"/>
      <c r="C537" s="3"/>
      <c r="D537" s="7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7"/>
      <c r="C538" s="3"/>
      <c r="D538" s="7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7"/>
      <c r="C539" s="3"/>
      <c r="D539" s="7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7"/>
      <c r="C540" s="3"/>
      <c r="D540" s="7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7"/>
      <c r="C541" s="3"/>
      <c r="D541" s="7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7"/>
      <c r="C542" s="3"/>
      <c r="D542" s="7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7"/>
      <c r="C543" s="3"/>
      <c r="D543" s="7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7"/>
      <c r="C544" s="3"/>
      <c r="D544" s="7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7"/>
      <c r="C545" s="3"/>
      <c r="D545" s="7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7"/>
      <c r="C546" s="3"/>
      <c r="D546" s="7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7"/>
      <c r="C547" s="3"/>
      <c r="D547" s="7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7"/>
      <c r="C548" s="3"/>
      <c r="D548" s="7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7"/>
      <c r="C549" s="3"/>
      <c r="D549" s="7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7"/>
      <c r="C550" s="3"/>
      <c r="D550" s="7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7"/>
      <c r="C551" s="3"/>
      <c r="D551" s="7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7"/>
      <c r="C552" s="3"/>
      <c r="D552" s="7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7"/>
      <c r="C553" s="3"/>
      <c r="D553" s="7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7"/>
      <c r="C554" s="3"/>
      <c r="D554" s="7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7"/>
      <c r="C555" s="3"/>
      <c r="D555" s="7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7"/>
      <c r="C556" s="3"/>
      <c r="D556" s="7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7"/>
      <c r="C557" s="3"/>
      <c r="D557" s="7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7"/>
      <c r="C558" s="3"/>
      <c r="D558" s="7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7"/>
      <c r="C559" s="3"/>
      <c r="D559" s="7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7"/>
      <c r="C560" s="3"/>
      <c r="D560" s="7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7"/>
      <c r="C561" s="3"/>
      <c r="D561" s="7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7"/>
      <c r="C562" s="3"/>
      <c r="D562" s="7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7"/>
      <c r="C563" s="3"/>
      <c r="D563" s="7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7"/>
      <c r="C564" s="3"/>
      <c r="D564" s="7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7"/>
      <c r="C565" s="3"/>
      <c r="D565" s="7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7"/>
      <c r="C566" s="3"/>
      <c r="D566" s="7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7"/>
      <c r="C567" s="3"/>
      <c r="D567" s="7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7"/>
      <c r="C568" s="3"/>
      <c r="D568" s="7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7"/>
      <c r="C569" s="3"/>
      <c r="D569" s="7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7"/>
      <c r="C570" s="3"/>
      <c r="D570" s="7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7"/>
      <c r="C571" s="3"/>
      <c r="D571" s="7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7"/>
      <c r="C572" s="3"/>
      <c r="D572" s="7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7"/>
      <c r="C573" s="3"/>
      <c r="D573" s="7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7"/>
      <c r="C574" s="3"/>
      <c r="D574" s="7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7"/>
      <c r="C575" s="3"/>
      <c r="D575" s="7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7"/>
      <c r="C576" s="3"/>
      <c r="D576" s="7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7"/>
      <c r="C577" s="3"/>
      <c r="D577" s="7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7"/>
      <c r="C578" s="3"/>
      <c r="D578" s="7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7"/>
      <c r="C579" s="3"/>
      <c r="D579" s="7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7"/>
      <c r="C580" s="3"/>
      <c r="D580" s="7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7"/>
      <c r="C581" s="3"/>
      <c r="D581" s="7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7"/>
      <c r="C582" s="3"/>
      <c r="D582" s="7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7"/>
      <c r="C583" s="3"/>
      <c r="D583" s="7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7"/>
      <c r="C584" s="3"/>
      <c r="D584" s="7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7"/>
      <c r="C585" s="3"/>
      <c r="D585" s="7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7"/>
      <c r="C586" s="3"/>
      <c r="D586" s="7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7"/>
      <c r="C587" s="3"/>
      <c r="D587" s="7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7"/>
      <c r="C588" s="3"/>
      <c r="D588" s="7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7"/>
      <c r="C589" s="3"/>
      <c r="D589" s="7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7"/>
      <c r="C590" s="3"/>
      <c r="D590" s="7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7"/>
      <c r="C591" s="3"/>
      <c r="D591" s="7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7"/>
      <c r="C592" s="3"/>
      <c r="D592" s="7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7"/>
      <c r="C593" s="3"/>
      <c r="D593" s="7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7"/>
      <c r="C594" s="3"/>
      <c r="D594" s="7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7"/>
      <c r="C595" s="3"/>
      <c r="D595" s="7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7"/>
      <c r="C596" s="3"/>
      <c r="D596" s="7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7"/>
      <c r="C597" s="3"/>
      <c r="D597" s="7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7"/>
      <c r="C598" s="3"/>
      <c r="D598" s="7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7"/>
      <c r="C599" s="3"/>
      <c r="D599" s="7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7"/>
      <c r="C600" s="3"/>
      <c r="D600" s="7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7"/>
      <c r="C601" s="3"/>
      <c r="D601" s="7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7"/>
      <c r="C602" s="3"/>
      <c r="D602" s="7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7"/>
      <c r="C603" s="3"/>
      <c r="D603" s="7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7"/>
      <c r="C604" s="3"/>
      <c r="D604" s="7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7"/>
      <c r="C605" s="3"/>
      <c r="D605" s="7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7"/>
      <c r="C606" s="3"/>
      <c r="D606" s="7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7"/>
      <c r="C607" s="3"/>
      <c r="D607" s="7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7"/>
      <c r="C608" s="3"/>
      <c r="D608" s="7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7"/>
      <c r="C609" s="3"/>
      <c r="D609" s="7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7"/>
      <c r="C610" s="3"/>
      <c r="D610" s="7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7"/>
      <c r="C611" s="3"/>
      <c r="D611" s="7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7"/>
      <c r="C612" s="3"/>
      <c r="D612" s="7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7"/>
      <c r="C613" s="3"/>
      <c r="D613" s="7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7"/>
      <c r="C614" s="3"/>
      <c r="D614" s="7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7"/>
      <c r="C615" s="3"/>
      <c r="D615" s="7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7"/>
      <c r="C616" s="3"/>
      <c r="D616" s="7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7"/>
      <c r="C617" s="3"/>
      <c r="D617" s="7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7"/>
      <c r="C618" s="3"/>
      <c r="D618" s="7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7"/>
      <c r="C619" s="3"/>
      <c r="D619" s="7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7"/>
      <c r="C620" s="3"/>
      <c r="D620" s="7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7"/>
      <c r="C621" s="3"/>
      <c r="D621" s="7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7"/>
      <c r="C622" s="3"/>
      <c r="D622" s="7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7"/>
      <c r="C623" s="3"/>
      <c r="D623" s="7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7"/>
      <c r="C624" s="3"/>
      <c r="D624" s="7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7"/>
      <c r="C625" s="3"/>
      <c r="D625" s="7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7"/>
      <c r="C626" s="3"/>
      <c r="D626" s="7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7"/>
      <c r="C627" s="3"/>
      <c r="D627" s="7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7"/>
      <c r="C628" s="3"/>
      <c r="D628" s="7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7"/>
      <c r="C629" s="3"/>
      <c r="D629" s="7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7"/>
      <c r="C630" s="3"/>
      <c r="D630" s="7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7"/>
      <c r="C631" s="3"/>
      <c r="D631" s="7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7"/>
      <c r="C632" s="3"/>
      <c r="D632" s="7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7"/>
      <c r="C633" s="3"/>
      <c r="D633" s="7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7"/>
      <c r="C634" s="3"/>
      <c r="D634" s="7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7"/>
      <c r="C635" s="3"/>
      <c r="D635" s="7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7"/>
      <c r="C636" s="3"/>
      <c r="D636" s="7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7"/>
      <c r="C637" s="3"/>
      <c r="D637" s="7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7"/>
      <c r="C638" s="3"/>
      <c r="D638" s="7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7"/>
      <c r="C639" s="3"/>
      <c r="D639" s="7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7"/>
      <c r="C640" s="3"/>
      <c r="D640" s="7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7"/>
      <c r="C641" s="3"/>
      <c r="D641" s="7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7"/>
      <c r="C642" s="3"/>
      <c r="D642" s="7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7"/>
      <c r="C643" s="3"/>
      <c r="D643" s="7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7"/>
      <c r="C644" s="3"/>
      <c r="D644" s="7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7"/>
      <c r="C645" s="3"/>
      <c r="D645" s="7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7"/>
      <c r="C646" s="3"/>
      <c r="D646" s="7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7"/>
      <c r="C647" s="3"/>
      <c r="D647" s="7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7"/>
      <c r="C648" s="3"/>
      <c r="D648" s="7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7"/>
      <c r="C649" s="3"/>
      <c r="D649" s="7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7"/>
      <c r="C650" s="3"/>
      <c r="D650" s="7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7"/>
      <c r="C651" s="3"/>
      <c r="D651" s="7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7"/>
      <c r="C652" s="3"/>
      <c r="D652" s="7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7"/>
      <c r="C653" s="3"/>
      <c r="D653" s="7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7"/>
      <c r="C654" s="3"/>
      <c r="D654" s="7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7"/>
      <c r="C655" s="3"/>
      <c r="D655" s="7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7"/>
      <c r="C656" s="3"/>
      <c r="D656" s="7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7"/>
      <c r="C657" s="3"/>
      <c r="D657" s="7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7"/>
      <c r="C658" s="3"/>
      <c r="D658" s="7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7"/>
      <c r="C659" s="3"/>
      <c r="D659" s="7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7"/>
      <c r="C660" s="3"/>
      <c r="D660" s="7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7"/>
      <c r="C661" s="3"/>
      <c r="D661" s="7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7"/>
      <c r="C662" s="3"/>
      <c r="D662" s="7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7"/>
      <c r="C663" s="3"/>
      <c r="D663" s="7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7"/>
      <c r="C664" s="3"/>
      <c r="D664" s="7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7"/>
      <c r="C665" s="3"/>
      <c r="D665" s="7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7"/>
      <c r="C666" s="3"/>
      <c r="D666" s="7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7"/>
      <c r="C667" s="3"/>
      <c r="D667" s="7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7"/>
      <c r="C668" s="3"/>
      <c r="D668" s="7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7"/>
      <c r="C669" s="3"/>
      <c r="D669" s="7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7"/>
      <c r="C670" s="3"/>
      <c r="D670" s="7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7"/>
      <c r="C671" s="3"/>
      <c r="D671" s="7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7"/>
      <c r="C672" s="3"/>
      <c r="D672" s="7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7"/>
      <c r="C673" s="3"/>
      <c r="D673" s="7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7"/>
      <c r="C674" s="3"/>
      <c r="D674" s="7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7"/>
      <c r="C675" s="3"/>
      <c r="D675" s="7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7"/>
      <c r="C676" s="3"/>
      <c r="D676" s="7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7"/>
      <c r="C677" s="3"/>
      <c r="D677" s="7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7"/>
      <c r="C678" s="3"/>
      <c r="D678" s="7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7"/>
      <c r="C679" s="3"/>
      <c r="D679" s="7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7"/>
      <c r="C680" s="3"/>
      <c r="D680" s="7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7"/>
      <c r="C681" s="3"/>
      <c r="D681" s="7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7"/>
      <c r="C682" s="3"/>
      <c r="D682" s="7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7"/>
      <c r="C683" s="3"/>
      <c r="D683" s="7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7"/>
      <c r="C684" s="3"/>
      <c r="D684" s="7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7"/>
      <c r="C685" s="3"/>
      <c r="D685" s="7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7"/>
      <c r="C686" s="3"/>
      <c r="D686" s="7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7"/>
      <c r="C687" s="3"/>
      <c r="D687" s="7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7"/>
      <c r="C688" s="3"/>
      <c r="D688" s="7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7"/>
      <c r="C689" s="3"/>
      <c r="D689" s="7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7"/>
      <c r="C690" s="3"/>
      <c r="D690" s="7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7"/>
      <c r="C691" s="3"/>
      <c r="D691" s="7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7"/>
      <c r="C692" s="3"/>
      <c r="D692" s="7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7"/>
      <c r="C693" s="3"/>
      <c r="D693" s="7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7"/>
      <c r="C694" s="3"/>
      <c r="D694" s="7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7"/>
      <c r="C695" s="3"/>
      <c r="D695" s="7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7"/>
      <c r="C696" s="3"/>
      <c r="D696" s="7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7"/>
      <c r="C697" s="3"/>
      <c r="D697" s="7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7"/>
      <c r="C698" s="3"/>
      <c r="D698" s="7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7"/>
      <c r="C699" s="3"/>
      <c r="D699" s="7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7"/>
      <c r="C700" s="3"/>
      <c r="D700" s="7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7"/>
      <c r="C701" s="3"/>
      <c r="D701" s="7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7"/>
      <c r="C702" s="3"/>
      <c r="D702" s="7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7"/>
      <c r="C703" s="3"/>
      <c r="D703" s="7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7"/>
      <c r="C704" s="3"/>
      <c r="D704" s="7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7"/>
      <c r="C705" s="3"/>
      <c r="D705" s="7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7"/>
      <c r="C706" s="3"/>
      <c r="D706" s="7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7"/>
      <c r="C707" s="3"/>
      <c r="D707" s="7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7"/>
      <c r="C708" s="3"/>
      <c r="D708" s="7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7"/>
      <c r="C709" s="3"/>
      <c r="D709" s="7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7"/>
      <c r="C710" s="3"/>
      <c r="D710" s="7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7"/>
      <c r="C711" s="3"/>
      <c r="D711" s="7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7"/>
      <c r="C712" s="3"/>
      <c r="D712" s="7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7"/>
      <c r="C713" s="3"/>
      <c r="D713" s="7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7"/>
      <c r="C714" s="3"/>
      <c r="D714" s="7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7"/>
      <c r="C715" s="3"/>
      <c r="D715" s="7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7"/>
      <c r="C716" s="3"/>
      <c r="D716" s="7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7"/>
      <c r="C717" s="3"/>
      <c r="D717" s="7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7"/>
      <c r="C718" s="3"/>
      <c r="D718" s="7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7"/>
      <c r="C719" s="3"/>
      <c r="D719" s="7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7"/>
      <c r="C720" s="3"/>
      <c r="D720" s="7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7"/>
      <c r="C721" s="3"/>
      <c r="D721" s="7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7"/>
      <c r="C722" s="3"/>
      <c r="D722" s="7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7"/>
      <c r="C723" s="3"/>
      <c r="D723" s="7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7"/>
      <c r="C724" s="3"/>
      <c r="D724" s="7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7"/>
      <c r="C725" s="3"/>
      <c r="D725" s="7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7"/>
      <c r="C726" s="3"/>
      <c r="D726" s="7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7"/>
      <c r="C727" s="3"/>
      <c r="D727" s="7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7"/>
      <c r="C728" s="3"/>
      <c r="D728" s="7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7"/>
      <c r="C729" s="3"/>
      <c r="D729" s="7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7"/>
      <c r="C730" s="3"/>
      <c r="D730" s="7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7"/>
      <c r="C731" s="3"/>
      <c r="D731" s="7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7"/>
      <c r="C732" s="3"/>
      <c r="D732" s="7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7"/>
      <c r="C733" s="3"/>
      <c r="D733" s="7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7"/>
      <c r="C734" s="3"/>
      <c r="D734" s="7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7"/>
      <c r="C735" s="3"/>
      <c r="D735" s="7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7"/>
      <c r="C736" s="3"/>
      <c r="D736" s="7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7"/>
      <c r="C737" s="3"/>
      <c r="D737" s="7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7"/>
      <c r="C738" s="3"/>
      <c r="D738" s="7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7"/>
      <c r="C739" s="3"/>
      <c r="D739" s="7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7"/>
      <c r="C740" s="3"/>
      <c r="D740" s="7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7"/>
      <c r="C741" s="3"/>
      <c r="D741" s="7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7"/>
      <c r="C742" s="3"/>
      <c r="D742" s="7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7"/>
      <c r="C743" s="3"/>
      <c r="D743" s="7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7"/>
      <c r="C744" s="3"/>
      <c r="D744" s="7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7"/>
      <c r="C745" s="3"/>
      <c r="D745" s="7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7"/>
      <c r="C746" s="3"/>
      <c r="D746" s="7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7"/>
      <c r="C747" s="3"/>
      <c r="D747" s="7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7"/>
      <c r="C748" s="3"/>
      <c r="D748" s="7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7"/>
      <c r="C749" s="3"/>
      <c r="D749" s="7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7"/>
      <c r="C750" s="3"/>
      <c r="D750" s="7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7"/>
      <c r="C751" s="3"/>
      <c r="D751" s="7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7"/>
      <c r="C752" s="3"/>
      <c r="D752" s="7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7"/>
      <c r="C753" s="3"/>
      <c r="D753" s="7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7"/>
      <c r="C754" s="3"/>
      <c r="D754" s="7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7"/>
      <c r="C755" s="3"/>
      <c r="D755" s="7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7"/>
      <c r="C756" s="3"/>
      <c r="D756" s="7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7"/>
      <c r="C757" s="3"/>
      <c r="D757" s="7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7"/>
      <c r="C758" s="3"/>
      <c r="D758" s="7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7"/>
      <c r="C759" s="3"/>
      <c r="D759" s="7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7"/>
      <c r="C760" s="3"/>
      <c r="D760" s="7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7"/>
      <c r="C761" s="3"/>
      <c r="D761" s="7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7"/>
      <c r="C762" s="3"/>
      <c r="D762" s="7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7"/>
      <c r="C763" s="3"/>
      <c r="D763" s="7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7"/>
      <c r="C764" s="3"/>
      <c r="D764" s="7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7"/>
      <c r="C765" s="3"/>
      <c r="D765" s="7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7"/>
      <c r="C766" s="3"/>
      <c r="D766" s="7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7"/>
      <c r="C767" s="3"/>
      <c r="D767" s="7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7"/>
      <c r="C768" s="3"/>
      <c r="D768" s="7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7"/>
      <c r="C769" s="3"/>
      <c r="D769" s="7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7"/>
      <c r="C770" s="3"/>
      <c r="D770" s="7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7"/>
      <c r="C771" s="3"/>
      <c r="D771" s="7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7"/>
      <c r="C772" s="3"/>
      <c r="D772" s="7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7"/>
      <c r="C773" s="3"/>
      <c r="D773" s="7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7"/>
      <c r="C774" s="3"/>
      <c r="D774" s="7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7"/>
      <c r="C775" s="3"/>
      <c r="D775" s="7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7"/>
      <c r="C776" s="3"/>
      <c r="D776" s="7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7"/>
      <c r="C777" s="3"/>
      <c r="D777" s="7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7"/>
      <c r="C778" s="3"/>
      <c r="D778" s="7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7"/>
      <c r="C779" s="3"/>
      <c r="D779" s="7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7"/>
      <c r="C780" s="3"/>
      <c r="D780" s="7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7"/>
      <c r="C781" s="3"/>
      <c r="D781" s="7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7"/>
      <c r="C782" s="3"/>
      <c r="D782" s="7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7"/>
      <c r="C783" s="3"/>
      <c r="D783" s="7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7"/>
      <c r="C784" s="3"/>
      <c r="D784" s="7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7"/>
      <c r="C785" s="3"/>
      <c r="D785" s="7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7"/>
      <c r="C786" s="3"/>
      <c r="D786" s="7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7"/>
      <c r="C787" s="3"/>
      <c r="D787" s="7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7"/>
      <c r="C788" s="3"/>
      <c r="D788" s="7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7"/>
      <c r="C789" s="3"/>
      <c r="D789" s="7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7"/>
      <c r="C790" s="3"/>
      <c r="D790" s="7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7"/>
      <c r="C791" s="3"/>
      <c r="D791" s="7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7"/>
      <c r="C792" s="3"/>
      <c r="D792" s="7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7"/>
      <c r="C793" s="3"/>
      <c r="D793" s="7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7"/>
      <c r="C794" s="3"/>
      <c r="D794" s="7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7"/>
      <c r="C795" s="3"/>
      <c r="D795" s="7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7"/>
      <c r="C796" s="3"/>
      <c r="D796" s="7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7"/>
      <c r="C797" s="3"/>
      <c r="D797" s="7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7"/>
      <c r="C798" s="3"/>
      <c r="D798" s="7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7"/>
      <c r="C799" s="3"/>
      <c r="D799" s="7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7"/>
      <c r="C800" s="3"/>
      <c r="D800" s="7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7"/>
      <c r="C801" s="3"/>
      <c r="D801" s="7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7"/>
      <c r="C802" s="3"/>
      <c r="D802" s="7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7"/>
      <c r="C803" s="3"/>
      <c r="D803" s="7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7"/>
      <c r="C804" s="3"/>
      <c r="D804" s="7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7"/>
      <c r="C805" s="3"/>
      <c r="D805" s="7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7"/>
      <c r="C806" s="3"/>
      <c r="D806" s="7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7"/>
      <c r="C807" s="3"/>
      <c r="D807" s="7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7"/>
      <c r="C808" s="3"/>
      <c r="D808" s="7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7"/>
      <c r="C809" s="3"/>
      <c r="D809" s="7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7"/>
      <c r="C810" s="3"/>
      <c r="D810" s="7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7"/>
      <c r="C811" s="3"/>
      <c r="D811" s="7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7"/>
      <c r="C812" s="3"/>
      <c r="D812" s="7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7"/>
      <c r="C813" s="3"/>
      <c r="D813" s="7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7"/>
      <c r="C814" s="3"/>
      <c r="D814" s="7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7"/>
      <c r="C815" s="3"/>
      <c r="D815" s="7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7"/>
      <c r="C816" s="3"/>
      <c r="D816" s="7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7"/>
      <c r="C817" s="3"/>
      <c r="D817" s="7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7"/>
      <c r="C818" s="3"/>
      <c r="D818" s="7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7"/>
      <c r="C819" s="3"/>
      <c r="D819" s="7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7"/>
      <c r="C820" s="3"/>
      <c r="D820" s="7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7"/>
      <c r="C821" s="3"/>
      <c r="D821" s="7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7"/>
      <c r="C822" s="3"/>
      <c r="D822" s="7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7"/>
      <c r="C823" s="3"/>
      <c r="D823" s="7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7"/>
      <c r="C824" s="3"/>
      <c r="D824" s="7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7"/>
      <c r="C825" s="3"/>
      <c r="D825" s="7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7"/>
      <c r="C826" s="3"/>
      <c r="D826" s="7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7"/>
      <c r="C827" s="3"/>
      <c r="D827" s="7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7"/>
      <c r="C828" s="3"/>
      <c r="D828" s="7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7"/>
      <c r="C829" s="3"/>
      <c r="D829" s="7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7"/>
      <c r="C830" s="3"/>
      <c r="D830" s="7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7"/>
      <c r="C831" s="3"/>
      <c r="D831" s="7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7"/>
      <c r="C832" s="3"/>
      <c r="D832" s="7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7"/>
      <c r="C833" s="3"/>
      <c r="D833" s="7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7"/>
      <c r="C834" s="3"/>
      <c r="D834" s="7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7"/>
      <c r="C835" s="3"/>
      <c r="D835" s="7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7"/>
      <c r="C836" s="3"/>
      <c r="D836" s="7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7"/>
      <c r="C837" s="3"/>
      <c r="D837" s="7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7"/>
      <c r="C838" s="3"/>
      <c r="D838" s="7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7"/>
      <c r="C839" s="3"/>
      <c r="D839" s="7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7"/>
      <c r="C840" s="3"/>
      <c r="D840" s="7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7"/>
      <c r="C841" s="3"/>
      <c r="D841" s="7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7"/>
      <c r="C842" s="3"/>
      <c r="D842" s="7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7"/>
      <c r="C843" s="3"/>
      <c r="D843" s="7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7"/>
      <c r="C844" s="3"/>
      <c r="D844" s="7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7"/>
      <c r="C845" s="3"/>
      <c r="D845" s="7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7"/>
      <c r="C846" s="3"/>
      <c r="D846" s="7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7"/>
      <c r="C847" s="3"/>
      <c r="D847" s="7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7"/>
      <c r="C848" s="3"/>
      <c r="D848" s="7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7"/>
      <c r="C849" s="3"/>
      <c r="D849" s="7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7"/>
      <c r="C850" s="3"/>
      <c r="D850" s="7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7"/>
      <c r="C851" s="3"/>
      <c r="D851" s="7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7"/>
      <c r="C852" s="3"/>
      <c r="D852" s="7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7"/>
      <c r="C853" s="3"/>
      <c r="D853" s="7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7"/>
      <c r="C854" s="3"/>
      <c r="D854" s="7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7"/>
      <c r="C855" s="3"/>
      <c r="D855" s="7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7"/>
      <c r="C856" s="3"/>
      <c r="D856" s="7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7"/>
      <c r="C857" s="3"/>
      <c r="D857" s="7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7"/>
      <c r="C858" s="3"/>
      <c r="D858" s="7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7"/>
      <c r="C859" s="3"/>
      <c r="D859" s="7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7"/>
      <c r="C860" s="3"/>
      <c r="D860" s="7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7"/>
      <c r="C861" s="3"/>
      <c r="D861" s="7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7"/>
      <c r="C862" s="3"/>
      <c r="D862" s="7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7"/>
      <c r="C863" s="3"/>
      <c r="D863" s="7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7"/>
      <c r="C864" s="3"/>
      <c r="D864" s="7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7"/>
      <c r="C865" s="3"/>
      <c r="D865" s="7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7"/>
      <c r="C866" s="3"/>
      <c r="D866" s="7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7"/>
      <c r="C867" s="3"/>
      <c r="D867" s="7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7"/>
      <c r="C868" s="3"/>
      <c r="D868" s="7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7"/>
      <c r="C869" s="3"/>
      <c r="D869" s="7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7"/>
      <c r="C870" s="3"/>
      <c r="D870" s="7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7"/>
      <c r="C871" s="3"/>
      <c r="D871" s="7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7"/>
      <c r="C872" s="3"/>
      <c r="D872" s="7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7"/>
      <c r="C873" s="3"/>
      <c r="D873" s="7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7"/>
      <c r="C874" s="3"/>
      <c r="D874" s="7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7"/>
      <c r="C875" s="3"/>
      <c r="D875" s="7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7"/>
      <c r="C876" s="3"/>
      <c r="D876" s="7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7"/>
      <c r="C877" s="3"/>
      <c r="D877" s="7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7"/>
      <c r="C878" s="3"/>
      <c r="D878" s="7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7"/>
      <c r="C879" s="3"/>
      <c r="D879" s="7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7"/>
      <c r="C880" s="3"/>
      <c r="D880" s="7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7"/>
      <c r="C881" s="3"/>
      <c r="D881" s="7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7"/>
      <c r="C882" s="3"/>
      <c r="D882" s="7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7"/>
      <c r="C883" s="3"/>
      <c r="D883" s="7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7"/>
      <c r="C884" s="3"/>
      <c r="D884" s="7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7"/>
      <c r="C885" s="3"/>
      <c r="D885" s="7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7"/>
      <c r="C886" s="3"/>
      <c r="D886" s="7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7"/>
      <c r="C887" s="3"/>
      <c r="D887" s="7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7"/>
      <c r="C888" s="3"/>
      <c r="D888" s="7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7"/>
      <c r="C889" s="3"/>
      <c r="D889" s="7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7"/>
      <c r="C890" s="3"/>
      <c r="D890" s="7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7"/>
      <c r="C891" s="3"/>
      <c r="D891" s="7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7"/>
      <c r="C892" s="3"/>
      <c r="D892" s="7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7"/>
      <c r="C893" s="3"/>
      <c r="D893" s="7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7"/>
      <c r="C894" s="3"/>
      <c r="D894" s="7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7"/>
      <c r="C895" s="3"/>
      <c r="D895" s="7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7"/>
      <c r="C896" s="3"/>
      <c r="D896" s="7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7"/>
      <c r="C897" s="3"/>
      <c r="D897" s="7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7"/>
      <c r="C898" s="3"/>
      <c r="D898" s="7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7"/>
      <c r="C899" s="3"/>
      <c r="D899" s="7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7"/>
      <c r="C900" s="3"/>
      <c r="D900" s="7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7"/>
      <c r="C901" s="3"/>
      <c r="D901" s="7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7"/>
      <c r="C902" s="3"/>
      <c r="D902" s="7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7"/>
      <c r="C903" s="3"/>
      <c r="D903" s="7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7"/>
      <c r="C904" s="3"/>
      <c r="D904" s="7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7"/>
      <c r="C905" s="3"/>
      <c r="D905" s="7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7"/>
      <c r="C906" s="3"/>
      <c r="D906" s="7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7"/>
      <c r="C907" s="3"/>
      <c r="D907" s="7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7"/>
      <c r="C908" s="3"/>
      <c r="D908" s="7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7"/>
      <c r="C909" s="3"/>
      <c r="D909" s="7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7"/>
      <c r="C910" s="3"/>
      <c r="D910" s="7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7"/>
      <c r="C911" s="3"/>
      <c r="D911" s="7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7"/>
      <c r="C912" s="3"/>
      <c r="D912" s="7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7"/>
      <c r="C913" s="3"/>
      <c r="D913" s="7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7"/>
      <c r="C914" s="3"/>
      <c r="D914" s="7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7"/>
      <c r="C915" s="3"/>
      <c r="D915" s="7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7"/>
      <c r="C916" s="3"/>
      <c r="D916" s="7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7"/>
      <c r="C917" s="3"/>
      <c r="D917" s="7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7"/>
      <c r="C918" s="3"/>
      <c r="D918" s="7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7"/>
      <c r="C919" s="3"/>
      <c r="D919" s="7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7"/>
      <c r="C920" s="3"/>
      <c r="D920" s="7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7"/>
      <c r="C921" s="3"/>
      <c r="D921" s="7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7"/>
      <c r="C922" s="3"/>
      <c r="D922" s="7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7"/>
      <c r="C923" s="3"/>
      <c r="D923" s="7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7"/>
      <c r="C924" s="3"/>
      <c r="D924" s="7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7"/>
      <c r="C925" s="3"/>
      <c r="D925" s="7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7"/>
      <c r="C926" s="3"/>
      <c r="D926" s="7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7"/>
      <c r="C927" s="3"/>
      <c r="D927" s="7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7"/>
      <c r="C928" s="3"/>
      <c r="D928" s="7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7"/>
      <c r="C929" s="3"/>
      <c r="D929" s="7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7"/>
      <c r="C930" s="3"/>
      <c r="D930" s="7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7"/>
      <c r="C931" s="3"/>
      <c r="D931" s="7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7"/>
      <c r="C932" s="3"/>
      <c r="D932" s="7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7"/>
      <c r="C933" s="3"/>
      <c r="D933" s="7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7"/>
      <c r="C934" s="3"/>
      <c r="D934" s="7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7"/>
      <c r="C935" s="3"/>
      <c r="D935" s="7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7"/>
      <c r="C936" s="3"/>
      <c r="D936" s="7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7"/>
      <c r="C937" s="3"/>
      <c r="D937" s="7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7"/>
      <c r="C938" s="3"/>
      <c r="D938" s="7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7"/>
      <c r="C939" s="3"/>
      <c r="D939" s="7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7"/>
      <c r="C940" s="3"/>
      <c r="D940" s="7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7"/>
      <c r="C941" s="3"/>
      <c r="D941" s="7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7"/>
      <c r="C942" s="3"/>
      <c r="D942" s="7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7"/>
      <c r="C943" s="3"/>
      <c r="D943" s="7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7"/>
      <c r="C944" s="3"/>
      <c r="D944" s="7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7"/>
      <c r="C945" s="3"/>
      <c r="D945" s="7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7"/>
      <c r="C946" s="3"/>
      <c r="D946" s="7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7"/>
      <c r="C947" s="3"/>
      <c r="D947" s="7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7"/>
      <c r="C948" s="3"/>
      <c r="D948" s="7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7"/>
      <c r="C949" s="3"/>
      <c r="D949" s="7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7"/>
      <c r="C950" s="3"/>
      <c r="D950" s="7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7"/>
      <c r="C951" s="3"/>
      <c r="D951" s="7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7"/>
      <c r="C952" s="3"/>
      <c r="D952" s="7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7"/>
      <c r="C953" s="3"/>
      <c r="D953" s="7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7"/>
      <c r="C954" s="3"/>
      <c r="D954" s="7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7"/>
      <c r="C955" s="3"/>
      <c r="D955" s="7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7"/>
      <c r="C956" s="3"/>
      <c r="D956" s="7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7"/>
      <c r="C957" s="3"/>
      <c r="D957" s="7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7"/>
      <c r="C958" s="3"/>
      <c r="D958" s="7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7"/>
      <c r="C959" s="3"/>
      <c r="D959" s="7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7"/>
      <c r="C960" s="3"/>
      <c r="D960" s="7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7"/>
      <c r="C961" s="3"/>
      <c r="D961" s="7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7"/>
      <c r="C962" s="3"/>
      <c r="D962" s="7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7"/>
      <c r="C963" s="3"/>
      <c r="D963" s="7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7"/>
      <c r="C964" s="3"/>
      <c r="D964" s="7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7"/>
      <c r="C965" s="3"/>
      <c r="D965" s="7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7"/>
      <c r="C966" s="3"/>
      <c r="D966" s="7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7"/>
      <c r="C967" s="3"/>
      <c r="D967" s="7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7"/>
      <c r="C968" s="3"/>
      <c r="D968" s="7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7"/>
      <c r="C969" s="3"/>
      <c r="D969" s="7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7"/>
      <c r="C970" s="3"/>
      <c r="D970" s="7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7"/>
      <c r="C971" s="3"/>
      <c r="D971" s="7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7"/>
      <c r="C972" s="3"/>
      <c r="D972" s="7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7"/>
      <c r="C973" s="3"/>
      <c r="D973" s="7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7"/>
      <c r="C974" s="3"/>
      <c r="D974" s="7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7"/>
      <c r="C975" s="3"/>
      <c r="D975" s="7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7"/>
      <c r="C976" s="3"/>
      <c r="D976" s="7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7"/>
      <c r="C977" s="3"/>
      <c r="D977" s="7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7"/>
      <c r="C978" s="3"/>
      <c r="D978" s="7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7"/>
      <c r="C979" s="3"/>
      <c r="D979" s="7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7"/>
      <c r="C980" s="3"/>
      <c r="D980" s="7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7"/>
      <c r="C981" s="3"/>
      <c r="D981" s="7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7"/>
      <c r="C982" s="3"/>
      <c r="D982" s="7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7"/>
      <c r="C983" s="3"/>
      <c r="D983" s="7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7"/>
      <c r="C984" s="3"/>
      <c r="D984" s="7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7"/>
      <c r="C985" s="3"/>
      <c r="D985" s="7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7"/>
      <c r="C986" s="3"/>
      <c r="D986" s="7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7"/>
      <c r="C987" s="3"/>
      <c r="D987" s="7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7"/>
      <c r="C988" s="3"/>
      <c r="D988" s="7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7"/>
      <c r="C989" s="3"/>
      <c r="D989" s="7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7"/>
      <c r="C990" s="3"/>
      <c r="D990" s="7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7"/>
      <c r="C991" s="3"/>
      <c r="D991" s="7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7"/>
      <c r="C992" s="3"/>
      <c r="D992" s="7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7"/>
      <c r="C993" s="3"/>
      <c r="D993" s="7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7"/>
      <c r="C994" s="3"/>
      <c r="D994" s="7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7"/>
      <c r="C995" s="3"/>
      <c r="D995" s="7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7"/>
      <c r="C996" s="3"/>
      <c r="D996" s="7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7"/>
      <c r="C997" s="3"/>
      <c r="D997" s="7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7"/>
      <c r="C998" s="3"/>
      <c r="D998" s="7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7"/>
      <c r="C999" s="3"/>
      <c r="D999" s="7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7"/>
      <c r="C1000" s="3"/>
      <c r="D1000" s="7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7"/>
      <c r="C1001" s="3"/>
      <c r="D1001" s="7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7"/>
      <c r="C1002" s="3"/>
      <c r="D1002" s="7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7"/>
      <c r="C1003" s="3"/>
      <c r="D1003" s="7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7"/>
      <c r="C1004" s="3"/>
      <c r="D1004" s="7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7"/>
      <c r="C1005" s="3"/>
      <c r="D1005" s="7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7"/>
      <c r="C1006" s="3"/>
      <c r="D1006" s="7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7"/>
      <c r="C1007" s="3"/>
      <c r="D1007" s="7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7"/>
      <c r="C1008" s="3"/>
      <c r="D1008" s="7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7"/>
      <c r="C1009" s="3"/>
      <c r="D1009" s="7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7"/>
      <c r="C1010" s="3"/>
      <c r="D1010" s="7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7"/>
      <c r="C1011" s="3"/>
      <c r="D1011" s="7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7"/>
      <c r="C1012" s="3"/>
      <c r="D1012" s="7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7"/>
      <c r="C1013" s="3"/>
      <c r="D1013" s="7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7"/>
      <c r="C1014" s="3"/>
      <c r="D1014" s="7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</sheetData>
  <mergeCells count="10">
    <mergeCell ref="H9:J9"/>
    <mergeCell ref="A76:J76"/>
    <mergeCell ref="A77:J77"/>
    <mergeCell ref="A9:A10"/>
    <mergeCell ref="B9:B10"/>
    <mergeCell ref="C9:C10"/>
    <mergeCell ref="D9:D10"/>
    <mergeCell ref="E9:E10"/>
    <mergeCell ref="F9:F10"/>
    <mergeCell ref="G9:G10"/>
  </mergeCells>
  <dataValidations>
    <dataValidation type="list" allowBlank="1" showErrorMessage="1" sqref="G11:G40">
      <formula1>"MECH_Metal parts/manufacture,MECH_Fibre parts/manufacture,MECH_Pneumatic related,MECH_3D printing related,MECH_Components,MECH_Miscellaneous,EE_Motor/ESC related,EE_Electronic Sensor,EE_Battery,EE_PCB,EE_Components,EE_Miscellaneous,SW_MCU related,SW_Senso"&amp;"rs,SW_Miscellaneous,Props,Others"</formula1>
    </dataValidation>
    <dataValidation type="list" allowBlank="1" showErrorMessage="1" sqref="K11:K40">
      <formula1>"Pending Approval,Approved bt Tim Woo,Rejected item by Tim Woo,Purchased,Delivered,Collected by the team PIC,Canceled by the team PIC"</formula1>
    </dataValidation>
    <dataValidation type="list" allowBlank="1" showErrorMessage="1" sqref="D11:D40">
      <formula1>"Local,Online"</formula1>
    </dataValidation>
  </dataValidations>
  <printOptions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0" t="s">
        <v>53</v>
      </c>
    </row>
    <row r="2">
      <c r="A2" s="100" t="s">
        <v>54</v>
      </c>
    </row>
    <row r="3">
      <c r="A3" s="100" t="s">
        <v>55</v>
      </c>
    </row>
    <row r="4">
      <c r="A4" s="100" t="s">
        <v>56</v>
      </c>
    </row>
    <row r="5">
      <c r="A5" s="100" t="s">
        <v>57</v>
      </c>
    </row>
    <row r="6">
      <c r="A6" s="100" t="s">
        <v>46</v>
      </c>
    </row>
    <row r="7">
      <c r="A7" s="100"/>
    </row>
  </sheetData>
  <drawing r:id="rId1"/>
</worksheet>
</file>